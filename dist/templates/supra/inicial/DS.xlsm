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EstaPastaDeTrabalho" defaultThemeVersion="124226"/>
  <mc:AlternateContent xmlns:mc="http://schemas.openxmlformats.org/markup-compatibility/2006">
    <mc:Choice Requires="x15">
      <x15ac:absPath xmlns:x15ac="http://schemas.microsoft.com/office/spreadsheetml/2010/11/ac" url="https://dnitgov-my.sharepoint.com/personal/cassia_sampaio_dnit_gov_br/Documents/00_CONSOL/Modelos de Relatório SUPRA BRLEGAL2/RELATÓRIO INICIAL/"/>
    </mc:Choice>
  </mc:AlternateContent>
  <xr:revisionPtr revIDLastSave="5" documentId="13_ncr:1_{76E6EC52-6B33-43E9-A206-3AE3FD46ECBD}" xr6:coauthVersionLast="47" xr6:coauthVersionMax="47" xr10:uidLastSave="{31F562C1-993A-4DD9-83A6-98C88AB85A2B}"/>
  <bookViews>
    <workbookView xWindow="57480" yWindow="1665" windowWidth="20730" windowHeight="11040" tabRatio="835" xr2:uid="{00000000-000D-0000-FFFF-FFFF00000000}"/>
  </bookViews>
  <sheets>
    <sheet name="DS(cadastro)" sheetId="52" r:id="rId1"/>
    <sheet name="Dic_DS" sheetId="53" r:id="rId2"/>
    <sheet name="Lado" sheetId="56" r:id="rId3"/>
  </sheets>
  <definedNames>
    <definedName name="____________OUT98" hidden="1">{#N/A,#N/A,TRUE,"Serviços"}</definedName>
    <definedName name="__________OUT98" hidden="1">{#N/A,#N/A,TRUE,"Serviços"}</definedName>
    <definedName name="_________OUT98" hidden="1">{#N/A,#N/A,TRUE,"Serviços"}</definedName>
    <definedName name="________OUT98" hidden="1">{#N/A,#N/A,TRUE,"Serviços"}</definedName>
    <definedName name="______OUT98" hidden="1">{#N/A,#N/A,TRUE,"Serviços"}</definedName>
    <definedName name="_____OUT98" hidden="1">{#N/A,#N/A,TRUE,"Serviços"}</definedName>
    <definedName name="____OUT98" hidden="1">{#N/A,#N/A,TRUE,"Serviços"}</definedName>
    <definedName name="__OUT98" hidden="1">{#N/A,#N/A,TRUE,"Serviços"}</definedName>
    <definedName name="_xlnm._FilterDatabase" localSheetId="1" hidden="1">Dic_DS!#REF!</definedName>
    <definedName name="_xlnm._FilterDatabase" localSheetId="0" hidden="1">'DS(cadastro)'!$C$3:$AB$9</definedName>
    <definedName name="_OUT98" hidden="1">{#N/A,#N/A,TRUE,"Serviços"}</definedName>
    <definedName name="_xlnm.Print_Area" localSheetId="1">Dic_DS!$A$1:$E$36</definedName>
    <definedName name="_xlnm.Print_Area" localSheetId="0">'DS(cadastro)'!$A$1:$AI$12</definedName>
    <definedName name="CAPA" hidden="1">{#N/A,#N/A,TRUE,"Serviços"}</definedName>
    <definedName name="capa1" hidden="1">{#N/A,#N/A,TRUE,"Serviços"}</definedName>
    <definedName name="capa2" hidden="1">{#N/A,#N/A,TRUE,"Serviços"}</definedName>
    <definedName name="DAER1" hidden="1">{#N/A,#N/A,TRUE,"Serviços"}</definedName>
    <definedName name="FATURAS2002" hidden="1">{#N/A,#N/A,TRUE,"Serviços"}</definedName>
    <definedName name="FOLHA01" hidden="1">{#N/A,#N/A,TRUE,"Serviços"}</definedName>
    <definedName name="folha1" hidden="1">{#N/A,#N/A,TRUE,"Serviços"}</definedName>
    <definedName name="gtryfj" hidden="1">{#N/A,#N/A,TRUE,"Serviços"}</definedName>
    <definedName name="JANEIRO2003" hidden="1">{#N/A,#N/A,TRUE,"Serviços"}</definedName>
    <definedName name="orçamrest" hidden="1">{#N/A,#N/A,TRUE,"Serviços"}</definedName>
    <definedName name="PROD_1" hidden="1">{#N/A,#N/A,TRUE,"Serviços"}</definedName>
    <definedName name="REL" hidden="1">{#N/A,#N/A,TRUE,"Serviços"}</definedName>
    <definedName name="rr" hidden="1">{#N/A,#N/A,TRUE,"Serviços"}</definedName>
    <definedName name="rrff" hidden="1">{#N/A,#N/A,TRUE,"Serviços"}</definedName>
    <definedName name="SETEMBRO" hidden="1">{#N/A,#N/A,TRUE,"Serviços"}</definedName>
    <definedName name="TYUIO" hidden="1">{#N/A,#N/A,TRUE,"Serviços"}</definedName>
    <definedName name="wrn.Tipo." hidden="1">{#N/A,#N/A,TRUE,"Serviços"}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53" l="1"/>
</calcChain>
</file>

<file path=xl/sharedStrings.xml><?xml version="1.0" encoding="utf-8"?>
<sst xmlns="http://schemas.openxmlformats.org/spreadsheetml/2006/main" count="179" uniqueCount="136">
  <si>
    <t>Descrição</t>
  </si>
  <si>
    <t>Nome do Campo</t>
  </si>
  <si>
    <t>Observações</t>
  </si>
  <si>
    <t>E</t>
  </si>
  <si>
    <t>BR</t>
  </si>
  <si>
    <t>Coordenadas devem estar todas no sistema geodésico decimal, precisão de seis casas. Usar vírgula para separação das casas decimais. Não utilizar espaços.</t>
  </si>
  <si>
    <t>Deve conter apenas números com duas casas decimais. Uso de vírgula para separação das casas decimais. Não utilizar espaços ou outros caracteres, exceto vírgula e números.</t>
  </si>
  <si>
    <t>SNV</t>
  </si>
  <si>
    <t>Inserir nome da Rodovia com  seguinte formatação: BR-XXX. Não utilizar caracteres especias ou espaços.</t>
  </si>
  <si>
    <t>Preencher SNV conforme dados do SNV utilizado na contratação.</t>
  </si>
  <si>
    <t>A</t>
  </si>
  <si>
    <t>B</t>
  </si>
  <si>
    <t>C</t>
  </si>
  <si>
    <t>D</t>
  </si>
  <si>
    <t>F</t>
  </si>
  <si>
    <t>G</t>
  </si>
  <si>
    <t>H</t>
  </si>
  <si>
    <t>I</t>
  </si>
  <si>
    <t>J</t>
  </si>
  <si>
    <t>K</t>
  </si>
  <si>
    <t>L</t>
  </si>
  <si>
    <t>M</t>
  </si>
  <si>
    <t>N</t>
  </si>
  <si>
    <t>O</t>
  </si>
  <si>
    <t>Q</t>
  </si>
  <si>
    <t>Z</t>
  </si>
  <si>
    <t>Velocidade (km/h)</t>
  </si>
  <si>
    <t>Lado</t>
  </si>
  <si>
    <t>Link da Fotografia</t>
  </si>
  <si>
    <t>X</t>
  </si>
  <si>
    <t>Utilizar apenas número inteiros em algarismos. Não utililizar letras, espaços ou outros caracteres, senão números.</t>
  </si>
  <si>
    <t>P</t>
  </si>
  <si>
    <t>U</t>
  </si>
  <si>
    <t>R</t>
  </si>
  <si>
    <t>S</t>
  </si>
  <si>
    <t>T</t>
  </si>
  <si>
    <t>V</t>
  </si>
  <si>
    <t>AA</t>
  </si>
  <si>
    <t>AB</t>
  </si>
  <si>
    <t>W</t>
  </si>
  <si>
    <t>Y</t>
  </si>
  <si>
    <t>Rodovia onde será implantado o dispositivo de segurança</t>
  </si>
  <si>
    <t>SNV onde o segmento o dispositivo de segurança será implantado</t>
  </si>
  <si>
    <t>Tramo</t>
  </si>
  <si>
    <t>km inicial</t>
  </si>
  <si>
    <t>Latitude inicial</t>
  </si>
  <si>
    <t>Longitude inicial</t>
  </si>
  <si>
    <t>km final</t>
  </si>
  <si>
    <t>Latitude final</t>
  </si>
  <si>
    <t>Longitude final</t>
  </si>
  <si>
    <t>Lado da pista em que se encontra o dispostivo de segurança</t>
  </si>
  <si>
    <t>Quantidade lâminas</t>
  </si>
  <si>
    <t>Quantidade de lâminas do dispositivo de segurança</t>
  </si>
  <si>
    <t>Função</t>
  </si>
  <si>
    <t>Nome do obstáculo fixo</t>
  </si>
  <si>
    <t xml:space="preserve">ID </t>
  </si>
  <si>
    <t>Código de Identificação do Objeto no Estudo Preliminar - Faixa de Domínio ou obras de arte especiais</t>
  </si>
  <si>
    <t>Risco</t>
  </si>
  <si>
    <t>Risco existente no local em análise</t>
  </si>
  <si>
    <t>Velocidade regulamentada do trecho onde se localiza o dispositivo de segurança</t>
  </si>
  <si>
    <t>VMD (veíc./dia)</t>
  </si>
  <si>
    <t>Volume médio diário do trecho onde se localiza o dispositivo de segurança</t>
  </si>
  <si>
    <t>% veículos pesados</t>
  </si>
  <si>
    <t>Porcentagem do VMD que representa veículos pesados</t>
  </si>
  <si>
    <t>Geometria</t>
  </si>
  <si>
    <t>Perfil quanto às curvas verticais</t>
  </si>
  <si>
    <t>Espaço de trabalho</t>
  </si>
  <si>
    <t>Espaço de trabalho da defensa metálica</t>
  </si>
  <si>
    <t>Terminal de entrada</t>
  </si>
  <si>
    <t>Terminal de entrada do dispositivo longitudinal</t>
  </si>
  <si>
    <t>Terminal de saída</t>
  </si>
  <si>
    <t>Terminal de saída do dispositivo longitudinal</t>
  </si>
  <si>
    <t>Adequação à funcionalidade - Lâmina</t>
  </si>
  <si>
    <t>Utilizar apenas os termos "Adequado" ou "Inadequado".</t>
  </si>
  <si>
    <t>Distância da face da defensa ao obstáculo(m)</t>
  </si>
  <si>
    <t>Distância da face da defensa ao obstáculo</t>
  </si>
  <si>
    <t>Utilizar medida em metros. Utilizar apenas número inteiros em algarismos. Uso de vírgula para separação. Não utilizar espaços ou outros caracteres, exceto vírgula e números.</t>
  </si>
  <si>
    <t>Distância da linha de bordo da pista à face da defensa (m)</t>
  </si>
  <si>
    <t xml:space="preserve">Distância da linha de bordo da pista à face da defensa </t>
  </si>
  <si>
    <t>Imagem do dispositivo de segurança</t>
  </si>
  <si>
    <t>AC</t>
  </si>
  <si>
    <t>AD</t>
  </si>
  <si>
    <t>AE</t>
  </si>
  <si>
    <t>AF</t>
  </si>
  <si>
    <t>AH</t>
  </si>
  <si>
    <t xml:space="preserve">Utilizar nomenclatura conforme aba "Lado". </t>
  </si>
  <si>
    <t>Utilizar medida em metros. Utilizar apenas número inteiros em algarismos. Não utililizar letras, espaços ou outros caracteres, senão números.</t>
  </si>
  <si>
    <t>Esse campo deve referenciar o objeto cadastrado na planilha de Estudos Preliminares -  Faixa de Domínio ou obras de arte especiais. Em caso de a função da defensa não estar relacionada à um objeto cadastrado naquelas planilhas de faixa de domínio ou obras de arte especiais, utilizar o símbolo "-".</t>
  </si>
  <si>
    <t>Deve conter apenas números em algarismos inteiros. Quando SUPRA estiver disponível não preencher esse campo, pois será preenchido automaticamente.</t>
  </si>
  <si>
    <t>Classificação segundo suas condições de funcionalidade</t>
  </si>
  <si>
    <t>Seguir orientações contidas da IN nº 03/2021. Deve conter apenas algarismos, no formato de porcentagem, com duas casas decimais. Uso de vírgula para separação das casas decimais. Quando SUPRA estiver disponível não preencher esse campo, pois será preenchido automaticamente.</t>
  </si>
  <si>
    <t>Classificação do nível da contenção do dispositivo de segurança</t>
  </si>
  <si>
    <t>Classificação do nível de contenção</t>
  </si>
  <si>
    <t>Nível de contenção NCHRP 350</t>
  </si>
  <si>
    <t>Nível de contenção EN 1317-2</t>
  </si>
  <si>
    <t>Nível de contenção correspondente da Norma Européia EN 1317-2</t>
  </si>
  <si>
    <t>Nível de contenção correspondente da Norma Americana NCHRP 350</t>
  </si>
  <si>
    <t>Distância da pista ao obstáculo (m)</t>
  </si>
  <si>
    <t xml:space="preserve">Distância da Pista ao obstáculo </t>
  </si>
  <si>
    <t>R1</t>
  </si>
  <si>
    <t>Função do dispositivo de segurança</t>
  </si>
  <si>
    <t>O tramo é definido por segmentos de lâminas delimitados por terminais. Cada  tramo deve ter uma numeração em sequência. Cada numeração não deverá se repetir. Utilizar apenas números inteiros. Não utilizar espaços, pontos ou vírgulas.</t>
  </si>
  <si>
    <t>Identificação do tramo do dispostivo de segurança</t>
  </si>
  <si>
    <t>Km final do inicial do tramo do dispostivo de segurança (lâminas)</t>
  </si>
  <si>
    <t>Latitude inicial do tramo do dispostivo de segurança (lâminas)</t>
  </si>
  <si>
    <t>Longitude inicial do tramo do dispostivo de segurança (lâminas)</t>
  </si>
  <si>
    <t>Km final do tramo do dispostivo de segurança (lâminas)</t>
  </si>
  <si>
    <t>Latitude final do tramo do dispostivo de segurança (lâminas)</t>
  </si>
  <si>
    <t>Longitude final do tramo do dispostivo de segurança (lâminas)</t>
  </si>
  <si>
    <t>Comprimento total do tramo do dispostivo de segurança (lâminas)</t>
  </si>
  <si>
    <t>Comprimento Total do Tramo (m)</t>
  </si>
  <si>
    <t>Utilizar nomenclatura exata ABNT NBR 15486/2016. "Obstáculo fixo", "Talude de aterro", "Talude de corte", "Talude transversal", "Drenagem lateral", "Estrutura de drenagem", "Suporte para placas e luminárias", "Canteiro central".</t>
  </si>
  <si>
    <t>Utilizar ABNT NBR 15486/2016. Utilizar apenas os termos "Normal" ou "Alto".</t>
  </si>
  <si>
    <t>Utilizar ABNT NBR 15486/2016. Utilizar apenas termos "Alto", "Muito alto" e "Normal".</t>
  </si>
  <si>
    <t>Especificação do obstáculo fixo</t>
  </si>
  <si>
    <t>Caso a função da defensa seja classificada como obstáculo fixo, Informar o nome do obstáculo fixo tais como corpos hídricos, postes, árvores, monumentos, entre outros. Para outras funções usar "-".</t>
  </si>
  <si>
    <t>Inserir a distância do bordo da pista ao obstáculo em questão. Utilizar medida em metros. Deve conter apenas números com duas casas decimais. Uso de vírgula para separação das casas decimais. Não utilizar espaços ou outros caracteres, exceto vírgula e números.</t>
  </si>
  <si>
    <t>Adequação à funcionalidade - Terminais</t>
  </si>
  <si>
    <t>Manual de Projeto Geométrico de Rodovias Rurais (DNIT, 1999). Utililizar apenas os temos "Montanhoso", "Ondulado" ou "Plano"</t>
  </si>
  <si>
    <t>Utilizar ABNT NBR 15486/2016. "T1", T2, N1, N2, H1, H4a e outros.</t>
  </si>
  <si>
    <t>Utilizar ABNT NBR 15486/2016. TL1, TL2, TL3 e outros.</t>
  </si>
  <si>
    <t>Adequação à funcionalidade - Lâminas inadequadas</t>
  </si>
  <si>
    <t>Descrição do número das lâminas que encontram inadequadas</t>
  </si>
  <si>
    <t>Adequação à funcionalidade - Terminais inadequados</t>
  </si>
  <si>
    <t>Descrição do número dos terminais que encontram inadequados</t>
  </si>
  <si>
    <t>Utilizar "1" para terminal de entrada e "2" para terminal de saída. Uso de vírgula para separação em caso de ambos. Não utilizar espaços ou outros caracteres, exceto vírgula e números. Quando não aplicável, utilizar "-".</t>
  </si>
  <si>
    <t>Imagens únicas para cada tramo. As imagens deverão ser disponibilizadas de modo que possam ser acessadas por sistema próprio do DNIT ou hiperlink de acesso na planilha de  cadastro.</t>
  </si>
  <si>
    <t>Utilizar ABNT NBR 15486/2016. Utilizar apenas termos "W1" a "W8".</t>
  </si>
  <si>
    <t>Utilizar ABNT NBR 15486/2016. "TAB" para terminal abatido (enterrado); "TAE" para terminal absorvedor de energia; "TDD" para terminal em defensa defletida (terminal ancorado em talude de corte); "TD" para terminal desviado; "TABC" para terminal ancorado em barreira de concreto; "TA" para terminal aéreo. Em caso de termial inexistente  utillizar "-".</t>
  </si>
  <si>
    <t>AG</t>
  </si>
  <si>
    <t>Dicionario - Dispositivos de Segurança</t>
  </si>
  <si>
    <t>Utilizar apenas número inteiros em algarismos, uso de vírgula para separação. Utilizar traço para identificar um segmento contínuo, exemplo "1-10" identificando que a lâmina 1 até a lâmina 10 encontram-se danificados. Quando não aplicável, utilizar apenas "-".</t>
  </si>
  <si>
    <t>Serviço</t>
  </si>
  <si>
    <t>VERSÃO 01</t>
  </si>
  <si>
    <t>JULHO/2022</t>
  </si>
  <si>
    <t xml:space="preserve">Planilha - Dispositivos de Segurança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</si>
</sst>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quot;R$&quot;* #,##0.00_-;\-&quot;R$&quot;* #,##0.00_-;_-&quot;R$&quot;* &quot;-&quot;??_-;_-@_-"/>
    <numFmt numFmtId="165" formatCode="_(* #,##0.00_);_(* \(#,##0.00\);_(* &quot;-&quot;??_);_(@_)"/>
    <numFmt numFmtId="166" formatCode="0.000"/>
    <numFmt numFmtId="167" formatCode="#,##0.0"/>
    <numFmt numFmtId="168" formatCode="0.0000"/>
    <numFmt numFmtId="169" formatCode="\$#,##0.00_);\(\$#,##0.00\)"/>
    <numFmt numFmtId="170" formatCode="\$#,##0_);\(\$#,##0\)"/>
    <numFmt numFmtId="171" formatCode="mmmm\ d\,\ yyyy"/>
    <numFmt numFmtId="172" formatCode="\$#,##0\ ;\(\$#,##0\)"/>
    <numFmt numFmtId="173" formatCode="_(&quot;Cr$&quot;* #,##0.00_);_(&quot;Cr$&quot;* \(#,##0.00\);_(&quot;Cr$&quot;* &quot;-&quot;??_);_(@_)"/>
    <numFmt numFmtId="174" formatCode="_(&quot;Cr$&quot;* #,##0.00_);_(&quot;Cr$&quot;* \(#,##0.00\);_(&quot;Cr$&quot;* \-??_);_(@_)"/>
    <numFmt numFmtId="175" formatCode="#."/>
    <numFmt numFmtId="176" formatCode="0.000000"/>
  </numFmts>
  <fonts count="27" x14ac:knownFonts="1">
    <font>
      <sz val="11"/>
      <color theme="1"/>
      <name val="Calibri"/>
      <family val="2"/>
      <scheme val="minor"/>
    </font>
    <font>
      <sz val="11"/>
      <color indexed="8"/>
      <name val="Calibri"/>
      <family val="2"/>
    </font>
    <font>
      <sz val="10"/>
      <name val="Arial"/>
      <family val="2"/>
    </font>
    <font>
      <sz val="11"/>
      <name val="Tahoma"/>
      <family val="2"/>
    </font>
    <font>
      <sz val="11"/>
      <name val="Tahoma"/>
      <family val="2"/>
    </font>
    <font>
      <b/>
      <sz val="12"/>
      <name val="Arial"/>
      <family val="2"/>
    </font>
    <font>
      <b/>
      <sz val="16"/>
      <color indexed="24"/>
      <name val="Arial"/>
      <family val="2"/>
    </font>
    <font>
      <b/>
      <sz val="12"/>
      <color indexed="24"/>
      <name val="Arial"/>
      <family val="2"/>
    </font>
    <font>
      <sz val="10"/>
      <color indexed="24"/>
      <name val="Arial"/>
      <family val="2"/>
    </font>
    <font>
      <sz val="12"/>
      <color indexed="24"/>
      <name val="Arial"/>
      <family val="2"/>
    </font>
    <font>
      <b/>
      <sz val="18"/>
      <name val="Arial"/>
      <family val="2"/>
    </font>
    <font>
      <sz val="10"/>
      <name val="Courier"/>
      <family val="3"/>
    </font>
    <font>
      <sz val="10"/>
      <name val="Times New Roman"/>
      <family val="1"/>
    </font>
    <font>
      <sz val="1"/>
      <color indexed="16"/>
      <name val="Courier"/>
      <family val="3"/>
    </font>
    <font>
      <sz val="11"/>
      <color indexed="8"/>
      <name val="Lucida Sans Unicode"/>
      <family val="2"/>
    </font>
    <font>
      <sz val="1"/>
      <color indexed="18"/>
      <name val="Courier"/>
      <family val="3"/>
    </font>
    <font>
      <b/>
      <sz val="15"/>
      <color indexed="62"/>
      <name val="Calibri"/>
      <family val="2"/>
    </font>
    <font>
      <b/>
      <sz val="1"/>
      <color indexed="16"/>
      <name val="Courier"/>
      <family val="3"/>
    </font>
    <font>
      <sz val="11"/>
      <color theme="1"/>
      <name val="Calibri"/>
      <family val="2"/>
      <scheme val="minor"/>
    </font>
    <font>
      <b/>
      <sz val="11"/>
      <name val="Calibri"/>
      <family val="2"/>
      <scheme val="minor"/>
    </font>
    <font>
      <b/>
      <sz val="11"/>
      <color theme="1"/>
      <name val="Calibri"/>
      <family val="2"/>
      <scheme val="minor"/>
    </font>
    <font>
      <b/>
      <sz val="15"/>
      <color theme="1"/>
      <name val="Calibri"/>
      <family val="2"/>
      <scheme val="minor"/>
    </font>
    <font>
      <b/>
      <sz val="15"/>
      <color indexed="8"/>
      <name val="Calibri"/>
      <family val="2"/>
      <scheme val="minor"/>
    </font>
    <font>
      <sz val="11"/>
      <color rgb="FF9F9F9F"/>
      <name val="Calibri"/>
      <family val="2"/>
      <scheme val="minor"/>
    </font>
    <font>
      <sz val="8"/>
      <name val="Calibri"/>
      <family val="2"/>
      <scheme val="minor"/>
    </font>
    <font>
      <sz val="11"/>
      <name val="Calibri"/>
      <family val="2"/>
      <scheme val="minor"/>
    </font>
    <font>
      <sz val="10"/>
      <color theme="1"/>
      <name val="Times New Roman"/>
      <family val="1"/>
    </font>
  </fonts>
  <fills count="5">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1">
    <border>
      <left/>
      <right/>
      <top/>
      <bottom/>
      <diagonal/>
    </border>
    <border>
      <left/>
      <right/>
      <top/>
      <bottom style="thick">
        <color indexed="49"/>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indexed="64"/>
      </right>
      <top/>
      <bottom style="thin">
        <color auto="1"/>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hair">
        <color theme="0" tint="-0.499984740745262"/>
      </bottom>
      <diagonal/>
    </border>
    <border>
      <left style="thin">
        <color indexed="64"/>
      </left>
      <right style="thin">
        <color indexed="64"/>
      </right>
      <top style="thin">
        <color indexed="64"/>
      </top>
      <bottom/>
      <diagonal/>
    </border>
    <border>
      <left/>
      <right/>
      <top/>
      <bottom style="medium">
        <color indexed="64"/>
      </bottom>
      <diagonal/>
    </border>
  </borders>
  <cellStyleXfs count="94">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39" fontId="2" fillId="0" borderId="0" applyFill="0" applyBorder="0" applyAlignment="0" applyProtection="0"/>
    <xf numFmtId="3" fontId="8" fillId="0" borderId="0" applyFont="0" applyFill="0" applyBorder="0" applyAlignment="0" applyProtection="0"/>
    <xf numFmtId="169" fontId="2" fillId="0" borderId="0" applyFill="0" applyBorder="0" applyAlignment="0" applyProtection="0"/>
    <xf numFmtId="170" fontId="2" fillId="0" borderId="0" applyFill="0" applyBorder="0" applyAlignment="0" applyProtection="0"/>
    <xf numFmtId="0" fontId="9" fillId="0" borderId="0" applyFont="0" applyFill="0" applyBorder="0" applyAlignment="0" applyProtection="0"/>
    <xf numFmtId="171" fontId="2" fillId="0" borderId="0" applyFill="0" applyBorder="0" applyAlignment="0" applyProtection="0"/>
    <xf numFmtId="2" fontId="2" fillId="0" borderId="0" applyFill="0" applyBorder="0" applyAlignment="0" applyProtection="0"/>
    <xf numFmtId="2" fontId="9" fillId="0" borderId="0" applyFont="0" applyFill="0" applyBorder="0" applyAlignment="0" applyProtection="0"/>
    <xf numFmtId="0" fontId="10" fillId="0" borderId="0" applyNumberFormat="0" applyFill="0" applyBorder="0" applyAlignment="0" applyProtection="0"/>
    <xf numFmtId="0" fontId="5" fillId="0" borderId="0" applyNumberFormat="0" applyFill="0" applyBorder="0" applyAlignment="0" applyProtection="0"/>
    <xf numFmtId="0" fontId="11" fillId="0" borderId="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72" fontId="9" fillId="0" borderId="0" applyFont="0" applyFill="0" applyBorder="0" applyAlignment="0" applyProtection="0"/>
    <xf numFmtId="173" fontId="2" fillId="0" borderId="0" applyFont="0" applyFill="0" applyBorder="0" applyAlignment="0" applyProtection="0"/>
    <xf numFmtId="174" fontId="4" fillId="0" borderId="0" applyFill="0" applyBorder="0" applyAlignment="0" applyProtection="0"/>
    <xf numFmtId="173" fontId="2" fillId="0" borderId="0" applyFont="0" applyFill="0" applyBorder="0" applyAlignment="0" applyProtection="0"/>
    <xf numFmtId="0" fontId="4"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2" fillId="0" borderId="0"/>
    <xf numFmtId="0" fontId="2" fillId="0" borderId="0"/>
    <xf numFmtId="0" fontId="18"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ill="0" applyBorder="0" applyAlignment="0" applyProtection="0"/>
    <xf numFmtId="175" fontId="13" fillId="0" borderId="0">
      <protection locked="0"/>
    </xf>
    <xf numFmtId="175" fontId="13" fillId="0" borderId="0">
      <protection locked="0"/>
    </xf>
    <xf numFmtId="9" fontId="4" fillId="0" borderId="0" applyFont="0" applyFill="0" applyBorder="0" applyAlignment="0" applyProtection="0"/>
    <xf numFmtId="9" fontId="4" fillId="0" borderId="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9" fontId="4" fillId="0" borderId="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4"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175" fontId="15" fillId="0" borderId="0">
      <protection locked="0"/>
    </xf>
    <xf numFmtId="165" fontId="4" fillId="0" borderId="0" applyFont="0" applyFill="0" applyBorder="0" applyAlignment="0" applyProtection="0"/>
    <xf numFmtId="173"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2" fontId="2" fillId="0" borderId="0" applyFont="0" applyFill="0" applyBorder="0" applyAlignment="0" applyProtection="0"/>
    <xf numFmtId="172" fontId="2" fillId="0" borderId="0" applyFont="0" applyFill="0" applyBorder="0" applyAlignment="0" applyProtection="0"/>
    <xf numFmtId="167"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2" fontId="2" fillId="0" borderId="0" applyFont="0" applyFill="0" applyBorder="0" applyAlignment="0" applyProtection="0"/>
    <xf numFmtId="165" fontId="4" fillId="0" borderId="0" applyFont="0" applyFill="0" applyBorder="0" applyAlignment="0" applyProtection="0"/>
    <xf numFmtId="167"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6" fontId="4" fillId="0" borderId="0" applyFill="0" applyBorder="0" applyAlignment="0" applyProtection="0"/>
    <xf numFmtId="0" fontId="16" fillId="0" borderId="1" applyNumberFormat="0" applyFill="0" applyAlignment="0" applyProtection="0"/>
    <xf numFmtId="175" fontId="17" fillId="0" borderId="0">
      <protection locked="0"/>
    </xf>
    <xf numFmtId="175" fontId="17" fillId="0" borderId="0">
      <protection locked="0"/>
    </xf>
    <xf numFmtId="165" fontId="3" fillId="0" borderId="0" applyFont="0" applyFill="0" applyBorder="0" applyAlignment="0" applyProtection="0"/>
    <xf numFmtId="3" fontId="9" fillId="0" borderId="0" applyFont="0" applyFill="0" applyBorder="0" applyAlignment="0" applyProtection="0"/>
    <xf numFmtId="164" fontId="18" fillId="0" borderId="0" applyFont="0" applyFill="0" applyBorder="0" applyAlignment="0" applyProtection="0"/>
    <xf numFmtId="9" fontId="18" fillId="0" borderId="0" applyFont="0" applyFill="0" applyBorder="0" applyAlignment="0" applyProtection="0"/>
  </cellStyleXfs>
  <cellXfs count="62">
    <xf numFmtId="0" fontId="0" fillId="0" borderId="0" xfId="0"/>
    <xf numFmtId="0" fontId="0" fillId="0" borderId="0" xfId="0" applyAlignment="1">
      <alignment horizontal="center" vertical="center"/>
    </xf>
    <xf numFmtId="2" fontId="0" fillId="0" borderId="0" xfId="0" applyNumberFormat="1"/>
    <xf numFmtId="0" fontId="0" fillId="0" borderId="2" xfId="0" applyBorder="1" applyAlignment="1">
      <alignment horizontal="center" vertical="center" wrapText="1"/>
    </xf>
    <xf numFmtId="0" fontId="19" fillId="2" borderId="4" xfId="0" applyFont="1" applyFill="1" applyBorder="1" applyAlignment="1">
      <alignment horizontal="center" vertical="center" wrapText="1"/>
    </xf>
    <xf numFmtId="0" fontId="19" fillId="2" borderId="5" xfId="0" applyFont="1" applyFill="1" applyBorder="1" applyAlignment="1">
      <alignment horizontal="center" vertical="center" wrapText="1"/>
    </xf>
    <xf numFmtId="0" fontId="19" fillId="2" borderId="7" xfId="0" applyFont="1" applyFill="1" applyBorder="1" applyAlignment="1">
      <alignment horizontal="center" vertical="center" wrapText="1"/>
    </xf>
    <xf numFmtId="0" fontId="0" fillId="0" borderId="0" xfId="0" applyAlignment="1">
      <alignment horizontal="center" vertical="center" wrapText="1"/>
    </xf>
    <xf numFmtId="0" fontId="20" fillId="3" borderId="6" xfId="0" applyFont="1" applyFill="1" applyBorder="1" applyAlignment="1">
      <alignment horizontal="center" vertical="center" wrapText="1"/>
    </xf>
    <xf numFmtId="0" fontId="21" fillId="0" borderId="0" xfId="0" applyFont="1"/>
    <xf numFmtId="0" fontId="22" fillId="0" borderId="0" xfId="0" applyFont="1"/>
    <xf numFmtId="0" fontId="23" fillId="0" borderId="0" xfId="0" applyFont="1" applyAlignment="1" applyProtection="1">
      <alignment horizontal="left" vertical="center"/>
      <protection locked="0" hidden="1"/>
    </xf>
    <xf numFmtId="1" fontId="0" fillId="0" borderId="0" xfId="0" applyNumberFormat="1"/>
    <xf numFmtId="0" fontId="20" fillId="3" borderId="11" xfId="0" applyFont="1" applyFill="1" applyBorder="1" applyAlignment="1">
      <alignment horizontal="center" vertical="center" wrapText="1"/>
    </xf>
    <xf numFmtId="176" fontId="0" fillId="0" borderId="0" xfId="0" applyNumberFormat="1"/>
    <xf numFmtId="2" fontId="23" fillId="0" borderId="0" xfId="0" applyNumberFormat="1" applyFont="1" applyAlignment="1" applyProtection="1">
      <alignment horizontal="left" vertical="center"/>
      <protection locked="0" hidden="1"/>
    </xf>
    <xf numFmtId="1" fontId="0" fillId="0" borderId="0" xfId="0" applyNumberFormat="1" applyAlignment="1">
      <alignment horizontal="center" vertical="center"/>
    </xf>
    <xf numFmtId="0" fontId="0" fillId="0" borderId="0" xfId="0" applyAlignment="1">
      <alignment wrapText="1"/>
    </xf>
    <xf numFmtId="2" fontId="0" fillId="0" borderId="0" xfId="0" applyNumberFormat="1" applyAlignment="1">
      <alignment horizontal="center" vertical="center"/>
    </xf>
    <xf numFmtId="0" fontId="0" fillId="0" borderId="12" xfId="0" applyBorder="1" applyAlignment="1">
      <alignment horizontal="center" vertical="center" wrapText="1"/>
    </xf>
    <xf numFmtId="0" fontId="19" fillId="3" borderId="6" xfId="0" applyFont="1" applyFill="1" applyBorder="1" applyAlignment="1">
      <alignment horizontal="center" vertical="center" wrapText="1"/>
    </xf>
    <xf numFmtId="0" fontId="25" fillId="0" borderId="2" xfId="0" applyFont="1" applyBorder="1" applyAlignment="1">
      <alignment horizontal="center" vertical="center" wrapText="1"/>
    </xf>
    <xf numFmtId="0" fontId="25" fillId="0" borderId="3" xfId="0" applyFont="1" applyBorder="1" applyAlignment="1">
      <alignment horizontal="center" vertical="center" wrapText="1"/>
    </xf>
    <xf numFmtId="0" fontId="19" fillId="3" borderId="17" xfId="0" applyFont="1" applyFill="1" applyBorder="1" applyAlignment="1">
      <alignment horizontal="center" vertical="center" wrapText="1"/>
    </xf>
    <xf numFmtId="0" fontId="19" fillId="3" borderId="13" xfId="0" applyFont="1" applyFill="1" applyBorder="1" applyAlignment="1">
      <alignment horizontal="center" vertical="center" wrapText="1"/>
    </xf>
    <xf numFmtId="0" fontId="25" fillId="0" borderId="14" xfId="0" applyFont="1" applyBorder="1" applyAlignment="1">
      <alignment horizontal="center" vertical="center" wrapText="1"/>
    </xf>
    <xf numFmtId="0" fontId="0" fillId="0" borderId="0" xfId="93" applyNumberFormat="1" applyFont="1" applyBorder="1" applyAlignment="1">
      <alignment wrapText="1"/>
    </xf>
    <xf numFmtId="176" fontId="0" fillId="0" borderId="0" xfId="92" applyNumberFormat="1" applyFont="1" applyBorder="1"/>
    <xf numFmtId="0" fontId="0" fillId="0" borderId="0" xfId="92" applyNumberFormat="1" applyFont="1" applyBorder="1" applyAlignment="1">
      <alignment wrapText="1"/>
    </xf>
    <xf numFmtId="0" fontId="20" fillId="3" borderId="5" xfId="0" applyFont="1" applyFill="1" applyBorder="1" applyAlignment="1">
      <alignment horizontal="center" vertical="center" wrapText="1"/>
    </xf>
    <xf numFmtId="1" fontId="0" fillId="0" borderId="0" xfId="0" applyNumberFormat="1" applyAlignment="1">
      <alignment wrapText="1"/>
    </xf>
    <xf numFmtId="2" fontId="0" fillId="0" borderId="2" xfId="0" applyNumberFormat="1" applyBorder="1" applyAlignment="1">
      <alignment horizontal="center" vertical="center" wrapText="1"/>
    </xf>
    <xf numFmtId="1" fontId="0" fillId="0" borderId="2" xfId="0" applyNumberFormat="1" applyBorder="1" applyAlignment="1">
      <alignment horizontal="center" vertical="center" wrapText="1"/>
    </xf>
    <xf numFmtId="176" fontId="0" fillId="0" borderId="2" xfId="0" applyNumberFormat="1" applyBorder="1" applyAlignment="1">
      <alignment horizontal="center" vertical="center" wrapText="1"/>
    </xf>
    <xf numFmtId="2" fontId="0" fillId="0" borderId="0" xfId="0" applyNumberFormat="1" applyAlignment="1">
      <alignment wrapText="1"/>
    </xf>
    <xf numFmtId="10" fontId="0" fillId="0" borderId="0" xfId="0" applyNumberFormat="1" applyAlignment="1">
      <alignment horizontal="center" vertical="center"/>
    </xf>
    <xf numFmtId="166" fontId="0" fillId="0" borderId="0" xfId="0" applyNumberFormat="1"/>
    <xf numFmtId="0" fontId="25" fillId="0" borderId="16" xfId="0" applyFont="1" applyBorder="1" applyAlignment="1">
      <alignment horizontal="center" vertical="center" wrapText="1"/>
    </xf>
    <xf numFmtId="1" fontId="0" fillId="0" borderId="2" xfId="0" applyNumberFormat="1" applyBorder="1" applyAlignment="1" applyProtection="1">
      <alignment horizontal="center" vertical="center"/>
      <protection locked="0"/>
    </xf>
    <xf numFmtId="1" fontId="0" fillId="0" borderId="2" xfId="93" applyNumberFormat="1" applyFont="1" applyFill="1" applyBorder="1" applyAlignment="1" applyProtection="1">
      <alignment horizontal="center" vertical="center"/>
      <protection locked="0"/>
    </xf>
    <xf numFmtId="10" fontId="0" fillId="0" borderId="2" xfId="93" applyNumberFormat="1" applyFont="1" applyFill="1" applyBorder="1" applyAlignment="1" applyProtection="1">
      <alignment horizontal="center" vertical="center"/>
      <protection locked="0"/>
    </xf>
    <xf numFmtId="0" fontId="25" fillId="0" borderId="15" xfId="0" applyFont="1" applyBorder="1" applyAlignment="1">
      <alignment horizontal="center" vertical="center" wrapText="1"/>
    </xf>
    <xf numFmtId="0" fontId="26" fillId="0" borderId="18" xfId="0" applyFont="1" applyBorder="1" applyAlignment="1" applyProtection="1">
      <alignment horizontal="center" vertical="center"/>
      <protection locked="0"/>
    </xf>
    <xf numFmtId="0" fontId="0" fillId="0" borderId="19" xfId="0" applyBorder="1" applyAlignment="1">
      <alignment horizontal="center" vertical="center" wrapText="1"/>
    </xf>
    <xf numFmtId="1" fontId="0" fillId="0" borderId="19" xfId="0" applyNumberFormat="1" applyBorder="1" applyAlignment="1">
      <alignment horizontal="center" vertical="center" wrapText="1"/>
    </xf>
    <xf numFmtId="2" fontId="0" fillId="0" borderId="19" xfId="0" applyNumberFormat="1" applyBorder="1" applyAlignment="1">
      <alignment horizontal="center" vertical="center" wrapText="1"/>
    </xf>
    <xf numFmtId="176" fontId="0" fillId="0" borderId="19" xfId="0" applyNumberFormat="1" applyBorder="1" applyAlignment="1">
      <alignment horizontal="center" vertical="center" wrapText="1"/>
    </xf>
    <xf numFmtId="1" fontId="0" fillId="0" borderId="19" xfId="0" applyNumberFormat="1" applyBorder="1" applyAlignment="1" applyProtection="1">
      <alignment horizontal="center" vertical="center"/>
      <protection locked="0"/>
    </xf>
    <xf numFmtId="10" fontId="0" fillId="0" borderId="19" xfId="93" applyNumberFormat="1" applyFont="1" applyFill="1" applyBorder="1" applyAlignment="1" applyProtection="1">
      <alignment horizontal="center" vertical="center"/>
      <protection locked="0"/>
    </xf>
    <xf numFmtId="0" fontId="21" fillId="4" borderId="8" xfId="0" applyFont="1" applyFill="1" applyBorder="1" applyAlignment="1">
      <alignment horizontal="center" vertical="center"/>
    </xf>
    <xf numFmtId="0" fontId="21" fillId="4" borderId="9" xfId="0" applyFont="1" applyFill="1" applyBorder="1" applyAlignment="1">
      <alignment horizontal="center" vertical="center"/>
    </xf>
    <xf numFmtId="0" fontId="21" fillId="4" borderId="10"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9" xfId="0" applyNumberFormat="1" applyBorder="1" applyAlignment="1">
      <alignment horizontal="center" vertical="center"/>
    </xf>
    <xf numFmtId="49" fontId="0" fillId="0" borderId="10" xfId="0" applyNumberFormat="1" applyBorder="1" applyAlignment="1">
      <alignment horizontal="center" vertical="center"/>
    </xf>
    <xf numFmtId="1" fontId="0" fillId="0" borderId="8" xfId="0" applyNumberFormat="1" applyBorder="1" applyAlignment="1">
      <alignment horizontal="center" vertical="center"/>
    </xf>
    <xf numFmtId="1" fontId="0" fillId="0" borderId="9" xfId="0" applyNumberFormat="1" applyBorder="1" applyAlignment="1">
      <alignment horizontal="center" vertical="center"/>
    </xf>
    <xf numFmtId="1" fontId="0" fillId="0" borderId="10" xfId="0" applyNumberFormat="1" applyBorder="1" applyAlignment="1">
      <alignment horizontal="center" vertical="center"/>
    </xf>
    <xf numFmtId="0" fontId="0" fillId="0" borderId="20" xfId="0" applyBorder="1" applyAlignment="1">
      <alignment horizontal="center"/>
    </xf>
    <xf numFmtId="0" fontId="22" fillId="4" borderId="8" xfId="0" applyFont="1" applyFill="1" applyBorder="1" applyAlignment="1">
      <alignment horizontal="center" vertical="center"/>
    </xf>
    <xf numFmtId="0" fontId="22" fillId="4" borderId="9" xfId="0" applyFont="1" applyFill="1" applyBorder="1" applyAlignment="1">
      <alignment horizontal="center" vertical="center"/>
    </xf>
    <xf numFmtId="0" fontId="22" fillId="4" borderId="10" xfId="0" applyFont="1" applyFill="1" applyBorder="1" applyAlignment="1">
      <alignment horizontal="center" vertical="center"/>
    </xf>
  </cellXfs>
  <cellStyles count="94">
    <cellStyle name="Cabeçalho 1" xfId="1" xr:uid="{00000000-0005-0000-0000-000000000000}"/>
    <cellStyle name="Cabeçalho 2" xfId="2" xr:uid="{00000000-0005-0000-0000-000001000000}"/>
    <cellStyle name="Comma" xfId="3" xr:uid="{00000000-0005-0000-0000-000002000000}"/>
    <cellStyle name="Comma0" xfId="4" xr:uid="{00000000-0005-0000-0000-000003000000}"/>
    <cellStyle name="Currency" xfId="5" xr:uid="{00000000-0005-0000-0000-000004000000}"/>
    <cellStyle name="Currency0" xfId="6" xr:uid="{00000000-0005-0000-0000-000005000000}"/>
    <cellStyle name="Data" xfId="7" xr:uid="{00000000-0005-0000-0000-000006000000}"/>
    <cellStyle name="Date" xfId="8" xr:uid="{00000000-0005-0000-0000-000007000000}"/>
    <cellStyle name="Fixed" xfId="9" xr:uid="{00000000-0005-0000-0000-000008000000}"/>
    <cellStyle name="Fixo" xfId="10" xr:uid="{00000000-0005-0000-0000-000009000000}"/>
    <cellStyle name="Heading 1" xfId="11" xr:uid="{00000000-0005-0000-0000-00000A000000}"/>
    <cellStyle name="Heading 2" xfId="12" xr:uid="{00000000-0005-0000-0000-00000B000000}"/>
    <cellStyle name="Indefinido" xfId="13" xr:uid="{00000000-0005-0000-0000-00000C000000}"/>
    <cellStyle name="Moeda" xfId="92" builtinId="4"/>
    <cellStyle name="Moeda 10" xfId="14" xr:uid="{00000000-0005-0000-0000-00000E000000}"/>
    <cellStyle name="Moeda 11" xfId="15" xr:uid="{00000000-0005-0000-0000-00000F000000}"/>
    <cellStyle name="Moeda 12" xfId="16" xr:uid="{00000000-0005-0000-0000-000010000000}"/>
    <cellStyle name="Moeda 2" xfId="17" xr:uid="{00000000-0005-0000-0000-000011000000}"/>
    <cellStyle name="Moeda 3" xfId="18" xr:uid="{00000000-0005-0000-0000-000012000000}"/>
    <cellStyle name="Moeda 4" xfId="19" xr:uid="{00000000-0005-0000-0000-000013000000}"/>
    <cellStyle name="Moeda 5" xfId="20" xr:uid="{00000000-0005-0000-0000-000014000000}"/>
    <cellStyle name="Moeda 6" xfId="21" xr:uid="{00000000-0005-0000-0000-000015000000}"/>
    <cellStyle name="Moeda 7" xfId="22" xr:uid="{00000000-0005-0000-0000-000016000000}"/>
    <cellStyle name="Moeda 8" xfId="23" xr:uid="{00000000-0005-0000-0000-000017000000}"/>
    <cellStyle name="Moeda 9" xfId="24" xr:uid="{00000000-0005-0000-0000-000018000000}"/>
    <cellStyle name="Moeda0" xfId="25" xr:uid="{00000000-0005-0000-0000-000019000000}"/>
    <cellStyle name="mpenho" xfId="26" xr:uid="{00000000-0005-0000-0000-00001A000000}"/>
    <cellStyle name="mpenho?_x0012_Moeda_Desempenho_1?_x0015_Moeda_folha medição 2?b_x0017_Moeda_folha medição 2_1?â_x0015_Moeda_folha medição 3?â" xfId="27" xr:uid="{00000000-0005-0000-0000-00001B000000}"/>
    <cellStyle name="mpenho_Projeto CREMA BR-153 (172,5 a 246,5)" xfId="28" xr:uid="{00000000-0005-0000-0000-00001C000000}"/>
    <cellStyle name="Normal" xfId="0" builtinId="0"/>
    <cellStyle name="Normal 10" xfId="29" xr:uid="{00000000-0005-0000-0000-00001E000000}"/>
    <cellStyle name="Normal 2" xfId="30" xr:uid="{00000000-0005-0000-0000-00001F000000}"/>
    <cellStyle name="Normal 2 2" xfId="31" xr:uid="{00000000-0005-0000-0000-000020000000}"/>
    <cellStyle name="Normal 2 2 2" xfId="32" xr:uid="{00000000-0005-0000-0000-000021000000}"/>
    <cellStyle name="Normal 2 2_BR-040-GO Levantamentos PIR" xfId="33" xr:uid="{00000000-0005-0000-0000-000022000000}"/>
    <cellStyle name="Normal 2_BR-040-GO Levantamentos PIR" xfId="34" xr:uid="{00000000-0005-0000-0000-000023000000}"/>
    <cellStyle name="Normal 3" xfId="35" xr:uid="{00000000-0005-0000-0000-000024000000}"/>
    <cellStyle name="Normal 3 2" xfId="36" xr:uid="{00000000-0005-0000-0000-000025000000}"/>
    <cellStyle name="Normal 4" xfId="37" xr:uid="{00000000-0005-0000-0000-000026000000}"/>
    <cellStyle name="Normal 5" xfId="38" xr:uid="{00000000-0005-0000-0000-000027000000}"/>
    <cellStyle name="Normal 6" xfId="39" xr:uid="{00000000-0005-0000-0000-000028000000}"/>
    <cellStyle name="Normal 7" xfId="40" xr:uid="{00000000-0005-0000-0000-000029000000}"/>
    <cellStyle name="Normal 8" xfId="41" xr:uid="{00000000-0005-0000-0000-00002A000000}"/>
    <cellStyle name="Normal 8 2" xfId="42" xr:uid="{00000000-0005-0000-0000-00002B000000}"/>
    <cellStyle name="Normal 8_Projeto CREMA BR-267 L3 ( 213,4 A 303,4)" xfId="43" xr:uid="{00000000-0005-0000-0000-00002C000000}"/>
    <cellStyle name="Normal 9" xfId="44" xr:uid="{00000000-0005-0000-0000-00002D000000}"/>
    <cellStyle name="Normal 9 2" xfId="45" xr:uid="{00000000-0005-0000-0000-00002E000000}"/>
    <cellStyle name="Normal 9_Projeto CREMA BR-354 (378,8 a 485,9) 06.04.09" xfId="46" xr:uid="{00000000-0005-0000-0000-00002F000000}"/>
    <cellStyle name="Percent" xfId="47" xr:uid="{00000000-0005-0000-0000-000030000000}"/>
    <cellStyle name="Percentual" xfId="48" xr:uid="{00000000-0005-0000-0000-000031000000}"/>
    <cellStyle name="Ponto" xfId="49" xr:uid="{00000000-0005-0000-0000-000032000000}"/>
    <cellStyle name="Porcentagem" xfId="93" builtinId="5"/>
    <cellStyle name="Porcentagem 10" xfId="50" xr:uid="{00000000-0005-0000-0000-000034000000}"/>
    <cellStyle name="Porcentagem 11" xfId="51" xr:uid="{00000000-0005-0000-0000-000035000000}"/>
    <cellStyle name="Porcentagem 2" xfId="52" xr:uid="{00000000-0005-0000-0000-000036000000}"/>
    <cellStyle name="Porcentagem 2 2" xfId="53" xr:uid="{00000000-0005-0000-0000-000037000000}"/>
    <cellStyle name="Porcentagem 2 2 2" xfId="54" xr:uid="{00000000-0005-0000-0000-000038000000}"/>
    <cellStyle name="Porcentagem 2 2_Projeto CREMA BR-365 (408,4 ao 476,7) 08.04.09" xfId="55" xr:uid="{00000000-0005-0000-0000-000039000000}"/>
    <cellStyle name="Porcentagem 2_MEDIÇÃO BR_###XX_Lote ##_(###,# ao ###,#)_FS_M3_NEVES" xfId="56" xr:uid="{00000000-0005-0000-0000-00003A000000}"/>
    <cellStyle name="Porcentagem 3" xfId="57" xr:uid="{00000000-0005-0000-0000-00003B000000}"/>
    <cellStyle name="Porcentagem 4" xfId="58" xr:uid="{00000000-0005-0000-0000-00003C000000}"/>
    <cellStyle name="Porcentagem 4 2" xfId="59" xr:uid="{00000000-0005-0000-0000-00003D000000}"/>
    <cellStyle name="Porcentagem 4_MEDIÇÃO BR_###XX_Lote ##_(###,# ao ###,#)_FS_M3_NEVES" xfId="60" xr:uid="{00000000-0005-0000-0000-00003E000000}"/>
    <cellStyle name="Porcentagem 5" xfId="61" xr:uid="{00000000-0005-0000-0000-00003F000000}"/>
    <cellStyle name="Porcentagem 6" xfId="62" xr:uid="{00000000-0005-0000-0000-000040000000}"/>
    <cellStyle name="Porcentagem 7" xfId="63" xr:uid="{00000000-0005-0000-0000-000041000000}"/>
    <cellStyle name="Porcentagem 8" xfId="64" xr:uid="{00000000-0005-0000-0000-000042000000}"/>
    <cellStyle name="Porcentagem 8 2" xfId="65" xr:uid="{00000000-0005-0000-0000-000043000000}"/>
    <cellStyle name="Porcentagem 8_Projeto CREMA BR-153 (172,5 a 246,5)" xfId="66" xr:uid="{00000000-0005-0000-0000-000044000000}"/>
    <cellStyle name="Porcentagem 9" xfId="67" xr:uid="{00000000-0005-0000-0000-000045000000}"/>
    <cellStyle name="Separador de m" xfId="68" xr:uid="{00000000-0005-0000-0000-000046000000}"/>
    <cellStyle name="Separador de milhares 2" xfId="69" xr:uid="{00000000-0005-0000-0000-000047000000}"/>
    <cellStyle name="Separador de milhares 2 2" xfId="70" xr:uid="{00000000-0005-0000-0000-000048000000}"/>
    <cellStyle name="Separador de milhares 2_MEDIÇÃO BR_###XX_Lote ##_(###,# ao ###,#)_FS_M3_NEVES" xfId="71" xr:uid="{00000000-0005-0000-0000-000049000000}"/>
    <cellStyle name="Separador de milhares 3" xfId="72" xr:uid="{00000000-0005-0000-0000-00004A000000}"/>
    <cellStyle name="Separador de milhares 3 2" xfId="73" xr:uid="{00000000-0005-0000-0000-00004B000000}"/>
    <cellStyle name="Separador de milhares 3 2 2" xfId="74" xr:uid="{00000000-0005-0000-0000-00004C000000}"/>
    <cellStyle name="Separador de milhares 3 2 3" xfId="75" xr:uid="{00000000-0005-0000-0000-00004D000000}"/>
    <cellStyle name="Separador de milhares 3 2 4" xfId="76" xr:uid="{00000000-0005-0000-0000-00004E000000}"/>
    <cellStyle name="Separador de milhares 3 2_MEDIÇÃO BR_###XX_Lote ##_(###,# ao ###,#)_FS_M3_NEVES" xfId="77" xr:uid="{00000000-0005-0000-0000-00004F000000}"/>
    <cellStyle name="Separador de milhares 3_MEDIÇÃO BR_###XX_Lote ##_(###,# ao ###,#)_FS_M3_NEVES" xfId="78" xr:uid="{00000000-0005-0000-0000-000050000000}"/>
    <cellStyle name="Separador de milhares 4" xfId="79" xr:uid="{00000000-0005-0000-0000-000051000000}"/>
    <cellStyle name="Separador de milhares 5" xfId="80" xr:uid="{00000000-0005-0000-0000-000052000000}"/>
    <cellStyle name="Separador de milhares 6" xfId="81" xr:uid="{00000000-0005-0000-0000-000053000000}"/>
    <cellStyle name="Separador de milhares 7" xfId="82" xr:uid="{00000000-0005-0000-0000-000054000000}"/>
    <cellStyle name="Separador de milhares 7 2" xfId="83" xr:uid="{00000000-0005-0000-0000-000055000000}"/>
    <cellStyle name="Separador de milhares 7_Projeto CREMA BR-365 (408,4 ao 476,7) 08.04.09" xfId="84" xr:uid="{00000000-0005-0000-0000-000056000000}"/>
    <cellStyle name="Separador de milhares 8" xfId="85" xr:uid="{00000000-0005-0000-0000-000057000000}"/>
    <cellStyle name="Separador de milhares 9" xfId="86" xr:uid="{00000000-0005-0000-0000-000058000000}"/>
    <cellStyle name="Título 1 1" xfId="87" xr:uid="{00000000-0005-0000-0000-000059000000}"/>
    <cellStyle name="Titulo1" xfId="88" xr:uid="{00000000-0005-0000-0000-00005A000000}"/>
    <cellStyle name="Titulo2" xfId="89" xr:uid="{00000000-0005-0000-0000-00005B000000}"/>
    <cellStyle name="Vírgula 2" xfId="90" xr:uid="{00000000-0005-0000-0000-00005C000000}"/>
    <cellStyle name="Vírgula0" xfId="91" xr:uid="{00000000-0005-0000-0000-00005D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108857</xdr:colOff>
      <xdr:row>0</xdr:row>
      <xdr:rowOff>190500</xdr:rowOff>
    </xdr:from>
    <xdr:to>
      <xdr:col>2</xdr:col>
      <xdr:colOff>81642</xdr:colOff>
      <xdr:row>0</xdr:row>
      <xdr:rowOff>925285</xdr:rowOff>
    </xdr:to>
    <xdr:sp macro="" textlink="">
      <xdr:nvSpPr>
        <xdr:cNvPr id="4" name="Retângulo 3">
          <a:extLst>
            <a:ext uri="{FF2B5EF4-FFF2-40B4-BE49-F238E27FC236}">
              <a16:creationId xmlns:a16="http://schemas.microsoft.com/office/drawing/2014/main" id="{F5E15D3A-4494-4E89-84AD-C0382C46CE43}"/>
            </a:ext>
          </a:extLst>
        </xdr:cNvPr>
        <xdr:cNvSpPr/>
      </xdr:nvSpPr>
      <xdr:spPr>
        <a:xfrm>
          <a:off x="108857" y="190500"/>
          <a:ext cx="1741714" cy="734785"/>
        </a:xfrm>
        <a:prstGeom prst="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1000">
              <a:latin typeface="Times New Roman" panose="02020603050405020304" pitchFamily="18" charset="0"/>
              <a:cs typeface="Times New Roman" panose="02020603050405020304" pitchFamily="18" charset="0"/>
            </a:rPr>
            <a:t>Logotipo</a:t>
          </a:r>
          <a:r>
            <a:rPr lang="pt-BR" sz="1000" baseline="0">
              <a:latin typeface="Times New Roman" panose="02020603050405020304" pitchFamily="18" charset="0"/>
              <a:cs typeface="Times New Roman" panose="02020603050405020304" pitchFamily="18" charset="0"/>
            </a:rPr>
            <a:t> Supervisora</a:t>
          </a:r>
          <a:endParaRPr lang="pt-BR" sz="1000">
            <a:latin typeface="Times New Roman" panose="02020603050405020304" pitchFamily="18" charset="0"/>
            <a:cs typeface="Times New Roman" panose="02020603050405020304" pitchFamily="18" charset="0"/>
          </a:endParaRPr>
        </a:p>
      </xdr:txBody>
    </xdr:sp>
    <xdr:clientData/>
  </xdr:twoCellAnchor>
  <xdr:twoCellAnchor editAs="oneCell">
    <xdr:from>
      <xdr:col>33</xdr:col>
      <xdr:colOff>163285</xdr:colOff>
      <xdr:row>0</xdr:row>
      <xdr:rowOff>163285</xdr:rowOff>
    </xdr:from>
    <xdr:to>
      <xdr:col>34</xdr:col>
      <xdr:colOff>612321</xdr:colOff>
      <xdr:row>0</xdr:row>
      <xdr:rowOff>894261</xdr:rowOff>
    </xdr:to>
    <xdr:pic>
      <xdr:nvPicPr>
        <xdr:cNvPr id="5" name="Imagem 4">
          <a:extLst>
            <a:ext uri="{FF2B5EF4-FFF2-40B4-BE49-F238E27FC236}">
              <a16:creationId xmlns:a16="http://schemas.microsoft.com/office/drawing/2014/main" id="{5FB77931-0A1C-4121-9F39-D97D3BD4B4A1}"/>
            </a:ext>
          </a:extLst>
        </xdr:cNvPr>
        <xdr:cNvPicPr/>
      </xdr:nvPicPr>
      <xdr:blipFill>
        <a:blip xmlns:r="http://schemas.openxmlformats.org/officeDocument/2006/relationships" r:embed="rId1">
          <a:clrChange>
            <a:clrFrom>
              <a:srgbClr val="FFFFFF"/>
            </a:clrFrom>
            <a:clrTo>
              <a:srgbClr val="FFFFFF">
                <a:alpha val="0"/>
              </a:srgbClr>
            </a:clrTo>
          </a:clrChange>
        </a:blip>
        <a:srcRect/>
        <a:stretch>
          <a:fillRect/>
        </a:stretch>
      </xdr:blipFill>
      <xdr:spPr bwMode="auto">
        <a:xfrm>
          <a:off x="30153428" y="163285"/>
          <a:ext cx="1496786" cy="73478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108744</xdr:rowOff>
    </xdr:to>
    <xdr:sp macro="" textlink="">
      <xdr:nvSpPr>
        <xdr:cNvPr id="2" name="AutoShape 1" descr="Resultado de imagem para r-1 placa">
          <a:extLst>
            <a:ext uri="{FF2B5EF4-FFF2-40B4-BE49-F238E27FC236}">
              <a16:creationId xmlns:a16="http://schemas.microsoft.com/office/drawing/2014/main" id="{39D9B095-46A6-4BA9-81D8-E5A70E86117F}"/>
            </a:ext>
          </a:extLst>
        </xdr:cNvPr>
        <xdr:cNvSpPr>
          <a:spLocks noChangeAspect="1" noChangeArrowheads="1"/>
        </xdr:cNvSpPr>
      </xdr:nvSpPr>
      <xdr:spPr bwMode="auto">
        <a:xfrm>
          <a:off x="0" y="390525"/>
          <a:ext cx="304800" cy="489744"/>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108744</xdr:rowOff>
    </xdr:to>
    <xdr:sp macro="" textlink="">
      <xdr:nvSpPr>
        <xdr:cNvPr id="3" name="AutoShape 2" descr="Resultado de imagem para r-1 placa">
          <a:extLst>
            <a:ext uri="{FF2B5EF4-FFF2-40B4-BE49-F238E27FC236}">
              <a16:creationId xmlns:a16="http://schemas.microsoft.com/office/drawing/2014/main" id="{245A35C6-C1DC-4860-A54E-9351C9D8A919}"/>
            </a:ext>
          </a:extLst>
        </xdr:cNvPr>
        <xdr:cNvSpPr>
          <a:spLocks noChangeAspect="1" noChangeArrowheads="1"/>
        </xdr:cNvSpPr>
      </xdr:nvSpPr>
      <xdr:spPr bwMode="auto">
        <a:xfrm>
          <a:off x="0" y="390525"/>
          <a:ext cx="304800" cy="489744"/>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109986</xdr:rowOff>
    </xdr:to>
    <xdr:sp macro="" textlink="">
      <xdr:nvSpPr>
        <xdr:cNvPr id="4" name="AutoShape 1" descr="Resultado de imagem para r-1 placa">
          <a:extLst>
            <a:ext uri="{FF2B5EF4-FFF2-40B4-BE49-F238E27FC236}">
              <a16:creationId xmlns:a16="http://schemas.microsoft.com/office/drawing/2014/main" id="{EBF6880F-E85D-4981-B1D6-CA384B49B6AC}"/>
            </a:ext>
          </a:extLst>
        </xdr:cNvPr>
        <xdr:cNvSpPr>
          <a:spLocks noChangeAspect="1" noChangeArrowheads="1"/>
        </xdr:cNvSpPr>
      </xdr:nvSpPr>
      <xdr:spPr bwMode="auto">
        <a:xfrm>
          <a:off x="0" y="390525"/>
          <a:ext cx="304800" cy="490986"/>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109986</xdr:rowOff>
    </xdr:to>
    <xdr:sp macro="" textlink="">
      <xdr:nvSpPr>
        <xdr:cNvPr id="5" name="AutoShape 2" descr="Resultado de imagem para r-1 placa">
          <a:extLst>
            <a:ext uri="{FF2B5EF4-FFF2-40B4-BE49-F238E27FC236}">
              <a16:creationId xmlns:a16="http://schemas.microsoft.com/office/drawing/2014/main" id="{E2CB1B79-4E9E-4508-AF52-119BC874CBDD}"/>
            </a:ext>
          </a:extLst>
        </xdr:cNvPr>
        <xdr:cNvSpPr>
          <a:spLocks noChangeAspect="1" noChangeArrowheads="1"/>
        </xdr:cNvSpPr>
      </xdr:nvSpPr>
      <xdr:spPr bwMode="auto">
        <a:xfrm>
          <a:off x="0" y="390525"/>
          <a:ext cx="304800" cy="490986"/>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114301</xdr:colOff>
      <xdr:row>0</xdr:row>
      <xdr:rowOff>121460</xdr:rowOff>
    </xdr:from>
    <xdr:to>
      <xdr:col>8</xdr:col>
      <xdr:colOff>85725</xdr:colOff>
      <xdr:row>16</xdr:row>
      <xdr:rowOff>162594</xdr:rowOff>
    </xdr:to>
    <xdr:pic>
      <xdr:nvPicPr>
        <xdr:cNvPr id="10" name="Imagem 9">
          <a:extLst>
            <a:ext uri="{FF2B5EF4-FFF2-40B4-BE49-F238E27FC236}">
              <a16:creationId xmlns:a16="http://schemas.microsoft.com/office/drawing/2014/main" id="{F826FFA2-03AA-49BA-93BF-0B64F9DE25C9}"/>
            </a:ext>
          </a:extLst>
        </xdr:cNvPr>
        <xdr:cNvPicPr>
          <a:picLocks noChangeAspect="1"/>
        </xdr:cNvPicPr>
      </xdr:nvPicPr>
      <xdr:blipFill>
        <a:blip xmlns:r="http://schemas.openxmlformats.org/officeDocument/2006/relationships" r:embed="rId1"/>
        <a:stretch>
          <a:fillRect/>
        </a:stretch>
      </xdr:blipFill>
      <xdr:spPr>
        <a:xfrm>
          <a:off x="114301" y="121460"/>
          <a:ext cx="4848224" cy="308913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0</xdr:col>
      <xdr:colOff>104775</xdr:colOff>
      <xdr:row>17</xdr:row>
      <xdr:rowOff>133350</xdr:rowOff>
    </xdr:from>
    <xdr:to>
      <xdr:col>11</xdr:col>
      <xdr:colOff>515343</xdr:colOff>
      <xdr:row>35</xdr:row>
      <xdr:rowOff>171934</xdr:rowOff>
    </xdr:to>
    <xdr:pic>
      <xdr:nvPicPr>
        <xdr:cNvPr id="11" name="Imagem 10">
          <a:extLst>
            <a:ext uri="{FF2B5EF4-FFF2-40B4-BE49-F238E27FC236}">
              <a16:creationId xmlns:a16="http://schemas.microsoft.com/office/drawing/2014/main" id="{921AB84D-1E40-4C2C-ABA1-440926BBB3FD}"/>
            </a:ext>
          </a:extLst>
        </xdr:cNvPr>
        <xdr:cNvPicPr>
          <a:picLocks noChangeAspect="1"/>
        </xdr:cNvPicPr>
      </xdr:nvPicPr>
      <xdr:blipFill>
        <a:blip xmlns:r="http://schemas.openxmlformats.org/officeDocument/2006/relationships" r:embed="rId2"/>
        <a:stretch>
          <a:fillRect/>
        </a:stretch>
      </xdr:blipFill>
      <xdr:spPr>
        <a:xfrm>
          <a:off x="104775" y="3371850"/>
          <a:ext cx="7116168" cy="346758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6</xdr:col>
      <xdr:colOff>66676</xdr:colOff>
      <xdr:row>1</xdr:row>
      <xdr:rowOff>66675</xdr:rowOff>
    </xdr:from>
    <xdr:to>
      <xdr:col>7</xdr:col>
      <xdr:colOff>542926</xdr:colOff>
      <xdr:row>2</xdr:row>
      <xdr:rowOff>152400</xdr:rowOff>
    </xdr:to>
    <xdr:sp macro="" textlink="">
      <xdr:nvSpPr>
        <xdr:cNvPr id="7" name="CaixaDeTexto 6">
          <a:extLst>
            <a:ext uri="{FF2B5EF4-FFF2-40B4-BE49-F238E27FC236}">
              <a16:creationId xmlns:a16="http://schemas.microsoft.com/office/drawing/2014/main" id="{BCC0494F-C7A4-41D0-8EB8-F4C56040519A}"/>
            </a:ext>
          </a:extLst>
        </xdr:cNvPr>
        <xdr:cNvSpPr txBox="1"/>
      </xdr:nvSpPr>
      <xdr:spPr>
        <a:xfrm>
          <a:off x="3724276" y="257175"/>
          <a:ext cx="1085850" cy="27622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PISTA</a:t>
          </a:r>
          <a:r>
            <a:rPr lang="pt-BR" sz="1100" b="1" baseline="0"/>
            <a:t> SIMPLES</a:t>
          </a:r>
          <a:endParaRPr lang="pt-BR" sz="1100" b="1"/>
        </a:p>
      </xdr:txBody>
    </xdr:sp>
    <xdr:clientData/>
  </xdr:twoCellAnchor>
  <xdr:twoCellAnchor>
    <xdr:from>
      <xdr:col>9</xdr:col>
      <xdr:colOff>600076</xdr:colOff>
      <xdr:row>18</xdr:row>
      <xdr:rowOff>57150</xdr:rowOff>
    </xdr:from>
    <xdr:to>
      <xdr:col>11</xdr:col>
      <xdr:colOff>400050</xdr:colOff>
      <xdr:row>19</xdr:row>
      <xdr:rowOff>142875</xdr:rowOff>
    </xdr:to>
    <xdr:sp macro="" textlink="">
      <xdr:nvSpPr>
        <xdr:cNvPr id="3" name="CaixaDeTexto 2">
          <a:extLst>
            <a:ext uri="{FF2B5EF4-FFF2-40B4-BE49-F238E27FC236}">
              <a16:creationId xmlns:a16="http://schemas.microsoft.com/office/drawing/2014/main" id="{120A020F-605D-4233-B9EE-29171AB97957}"/>
            </a:ext>
          </a:extLst>
        </xdr:cNvPr>
        <xdr:cNvSpPr txBox="1"/>
      </xdr:nvSpPr>
      <xdr:spPr>
        <a:xfrm>
          <a:off x="6086476" y="3486150"/>
          <a:ext cx="1019174" cy="27622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PISTA</a:t>
          </a:r>
          <a:r>
            <a:rPr lang="pt-BR" sz="1100" b="1" baseline="0"/>
            <a:t> DUPLA</a:t>
          </a:r>
          <a:endParaRPr lang="pt-BR" sz="1100" b="1"/>
        </a:p>
      </xdr:txBody>
    </xdr:sp>
    <xdr:clientData/>
  </xdr:twoCellAnchor>
  <xdr:twoCellAnchor editAs="oneCell">
    <xdr:from>
      <xdr:col>0</xdr:col>
      <xdr:colOff>114300</xdr:colOff>
      <xdr:row>36</xdr:row>
      <xdr:rowOff>142875</xdr:rowOff>
    </xdr:from>
    <xdr:to>
      <xdr:col>19</xdr:col>
      <xdr:colOff>163548</xdr:colOff>
      <xdr:row>71</xdr:row>
      <xdr:rowOff>153332</xdr:rowOff>
    </xdr:to>
    <xdr:pic>
      <xdr:nvPicPr>
        <xdr:cNvPr id="12" name="Imagem 11">
          <a:extLst>
            <a:ext uri="{FF2B5EF4-FFF2-40B4-BE49-F238E27FC236}">
              <a16:creationId xmlns:a16="http://schemas.microsoft.com/office/drawing/2014/main" id="{8C546420-B216-4ABF-907F-A0CB0146AE8A}"/>
            </a:ext>
          </a:extLst>
        </xdr:cNvPr>
        <xdr:cNvPicPr>
          <a:picLocks noChangeAspect="1"/>
        </xdr:cNvPicPr>
      </xdr:nvPicPr>
      <xdr:blipFill>
        <a:blip xmlns:r="http://schemas.openxmlformats.org/officeDocument/2006/relationships" r:embed="rId3"/>
        <a:stretch>
          <a:fillRect/>
        </a:stretch>
      </xdr:blipFill>
      <xdr:spPr>
        <a:xfrm>
          <a:off x="114300" y="7000875"/>
          <a:ext cx="11631648" cy="667795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0</xdr:col>
      <xdr:colOff>142874</xdr:colOff>
      <xdr:row>37</xdr:row>
      <xdr:rowOff>114301</xdr:rowOff>
    </xdr:from>
    <xdr:to>
      <xdr:col>3</xdr:col>
      <xdr:colOff>609599</xdr:colOff>
      <xdr:row>38</xdr:row>
      <xdr:rowOff>171451</xdr:rowOff>
    </xdr:to>
    <xdr:sp macro="" textlink="">
      <xdr:nvSpPr>
        <xdr:cNvPr id="6" name="CaixaDeTexto 5">
          <a:extLst>
            <a:ext uri="{FF2B5EF4-FFF2-40B4-BE49-F238E27FC236}">
              <a16:creationId xmlns:a16="http://schemas.microsoft.com/office/drawing/2014/main" id="{C3666E85-07C7-4E3E-9C59-9A8AC963A5EC}"/>
            </a:ext>
          </a:extLst>
        </xdr:cNvPr>
        <xdr:cNvSpPr txBox="1"/>
      </xdr:nvSpPr>
      <xdr:spPr>
        <a:xfrm>
          <a:off x="142874" y="6591301"/>
          <a:ext cx="2295525" cy="24765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PISTA</a:t>
          </a:r>
          <a:r>
            <a:rPr lang="pt-BR" sz="1100" b="1" baseline="0"/>
            <a:t> SIMPLES/DUPLA - MARGINAIS</a:t>
          </a:r>
          <a:endParaRPr lang="pt-BR" sz="1100" b="1"/>
        </a:p>
      </xdr:txBody>
    </xdr:sp>
    <xdr:clientData/>
  </xdr:twoCellAnchor>
  <xdr:twoCellAnchor editAs="oneCell">
    <xdr:from>
      <xdr:col>0</xdr:col>
      <xdr:colOff>104775</xdr:colOff>
      <xdr:row>72</xdr:row>
      <xdr:rowOff>114300</xdr:rowOff>
    </xdr:from>
    <xdr:to>
      <xdr:col>14</xdr:col>
      <xdr:colOff>115493</xdr:colOff>
      <xdr:row>98</xdr:row>
      <xdr:rowOff>38781</xdr:rowOff>
    </xdr:to>
    <xdr:pic>
      <xdr:nvPicPr>
        <xdr:cNvPr id="13" name="Imagem 12">
          <a:extLst>
            <a:ext uri="{FF2B5EF4-FFF2-40B4-BE49-F238E27FC236}">
              <a16:creationId xmlns:a16="http://schemas.microsoft.com/office/drawing/2014/main" id="{1418B0A9-AFC5-4064-8AF2-A76FBC3F1871}"/>
            </a:ext>
          </a:extLst>
        </xdr:cNvPr>
        <xdr:cNvPicPr>
          <a:picLocks noChangeAspect="1"/>
        </xdr:cNvPicPr>
      </xdr:nvPicPr>
      <xdr:blipFill>
        <a:blip xmlns:r="http://schemas.openxmlformats.org/officeDocument/2006/relationships" r:embed="rId4"/>
        <a:stretch>
          <a:fillRect/>
        </a:stretch>
      </xdr:blipFill>
      <xdr:spPr>
        <a:xfrm>
          <a:off x="104775" y="13830300"/>
          <a:ext cx="8545118" cy="487748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11</xdr:col>
      <xdr:colOff>419100</xdr:colOff>
      <xdr:row>84</xdr:row>
      <xdr:rowOff>104775</xdr:rowOff>
    </xdr:from>
    <xdr:to>
      <xdr:col>13</xdr:col>
      <xdr:colOff>381165</xdr:colOff>
      <xdr:row>90</xdr:row>
      <xdr:rowOff>85882</xdr:rowOff>
    </xdr:to>
    <xdr:pic>
      <xdr:nvPicPr>
        <xdr:cNvPr id="14" name="Imagem 13">
          <a:extLst>
            <a:ext uri="{FF2B5EF4-FFF2-40B4-BE49-F238E27FC236}">
              <a16:creationId xmlns:a16="http://schemas.microsoft.com/office/drawing/2014/main" id="{E787F37F-E4CC-47C7-BCD5-DFFA6525FC2F}"/>
            </a:ext>
          </a:extLst>
        </xdr:cNvPr>
        <xdr:cNvPicPr>
          <a:picLocks noChangeAspect="1"/>
        </xdr:cNvPicPr>
      </xdr:nvPicPr>
      <xdr:blipFill>
        <a:blip xmlns:r="http://schemas.openxmlformats.org/officeDocument/2006/relationships" r:embed="rId5"/>
        <a:stretch>
          <a:fillRect/>
        </a:stretch>
      </xdr:blipFill>
      <xdr:spPr>
        <a:xfrm>
          <a:off x="7124700" y="16106775"/>
          <a:ext cx="1181265" cy="1124107"/>
        </a:xfrm>
        <a:prstGeom prst="rect">
          <a:avLst/>
        </a:prstGeom>
      </xdr:spPr>
    </xdr:pic>
    <xdr:clientData/>
  </xdr:twoCellAnchor>
  <xdr:twoCellAnchor>
    <xdr:from>
      <xdr:col>0</xdr:col>
      <xdr:colOff>161926</xdr:colOff>
      <xdr:row>73</xdr:row>
      <xdr:rowOff>9525</xdr:rowOff>
    </xdr:from>
    <xdr:to>
      <xdr:col>1</xdr:col>
      <xdr:colOff>295276</xdr:colOff>
      <xdr:row>74</xdr:row>
      <xdr:rowOff>66675</xdr:rowOff>
    </xdr:to>
    <xdr:sp macro="" textlink="">
      <xdr:nvSpPr>
        <xdr:cNvPr id="15" name="CaixaDeTexto 14">
          <a:extLst>
            <a:ext uri="{FF2B5EF4-FFF2-40B4-BE49-F238E27FC236}">
              <a16:creationId xmlns:a16="http://schemas.microsoft.com/office/drawing/2014/main" id="{C77C9E93-A936-4FB8-894E-683AF722B879}"/>
            </a:ext>
          </a:extLst>
        </xdr:cNvPr>
        <xdr:cNvSpPr txBox="1"/>
      </xdr:nvSpPr>
      <xdr:spPr>
        <a:xfrm>
          <a:off x="161926" y="13916025"/>
          <a:ext cx="742950" cy="24765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ACESSOS</a:t>
          </a:r>
        </a:p>
      </xdr:txBody>
    </xdr:sp>
    <xdr:clientData/>
  </xdr:twoCellAnchor>
  <xdr:twoCellAnchor editAs="oneCell">
    <xdr:from>
      <xdr:col>0</xdr:col>
      <xdr:colOff>57150</xdr:colOff>
      <xdr:row>99</xdr:row>
      <xdr:rowOff>0</xdr:rowOff>
    </xdr:from>
    <xdr:to>
      <xdr:col>13</xdr:col>
      <xdr:colOff>572678</xdr:colOff>
      <xdr:row>135</xdr:row>
      <xdr:rowOff>29536</xdr:rowOff>
    </xdr:to>
    <xdr:pic>
      <xdr:nvPicPr>
        <xdr:cNvPr id="16" name="Imagem 15">
          <a:extLst>
            <a:ext uri="{FF2B5EF4-FFF2-40B4-BE49-F238E27FC236}">
              <a16:creationId xmlns:a16="http://schemas.microsoft.com/office/drawing/2014/main" id="{0645D5A7-B45E-4DCD-953E-B7409AC3D0E3}"/>
            </a:ext>
          </a:extLst>
        </xdr:cNvPr>
        <xdr:cNvPicPr>
          <a:picLocks noChangeAspect="1"/>
        </xdr:cNvPicPr>
      </xdr:nvPicPr>
      <xdr:blipFill>
        <a:blip xmlns:r="http://schemas.openxmlformats.org/officeDocument/2006/relationships" r:embed="rId6"/>
        <a:stretch>
          <a:fillRect/>
        </a:stretch>
      </xdr:blipFill>
      <xdr:spPr>
        <a:xfrm>
          <a:off x="57150" y="18859500"/>
          <a:ext cx="8440328" cy="688753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0</xdr:col>
      <xdr:colOff>104775</xdr:colOff>
      <xdr:row>99</xdr:row>
      <xdr:rowOff>57150</xdr:rowOff>
    </xdr:from>
    <xdr:to>
      <xdr:col>1</xdr:col>
      <xdr:colOff>238125</xdr:colOff>
      <xdr:row>100</xdr:row>
      <xdr:rowOff>114300</xdr:rowOff>
    </xdr:to>
    <xdr:sp macro="" textlink="">
      <xdr:nvSpPr>
        <xdr:cNvPr id="18" name="CaixaDeTexto 17">
          <a:extLst>
            <a:ext uri="{FF2B5EF4-FFF2-40B4-BE49-F238E27FC236}">
              <a16:creationId xmlns:a16="http://schemas.microsoft.com/office/drawing/2014/main" id="{68E1C303-32F3-490A-8A04-5FB6E760EABA}"/>
            </a:ext>
          </a:extLst>
        </xdr:cNvPr>
        <xdr:cNvSpPr txBox="1"/>
      </xdr:nvSpPr>
      <xdr:spPr>
        <a:xfrm>
          <a:off x="104775" y="18916650"/>
          <a:ext cx="742950" cy="24765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ACESSOS</a:t>
          </a:r>
        </a:p>
      </xdr:txBody>
    </xdr:sp>
    <xdr:clientData/>
  </xdr:twoCellAnchor>
  <xdr:twoCellAnchor editAs="oneCell">
    <xdr:from>
      <xdr:col>0</xdr:col>
      <xdr:colOff>85725</xdr:colOff>
      <xdr:row>135</xdr:row>
      <xdr:rowOff>180975</xdr:rowOff>
    </xdr:from>
    <xdr:to>
      <xdr:col>16</xdr:col>
      <xdr:colOff>334771</xdr:colOff>
      <xdr:row>166</xdr:row>
      <xdr:rowOff>48431</xdr:rowOff>
    </xdr:to>
    <xdr:pic>
      <xdr:nvPicPr>
        <xdr:cNvPr id="19" name="Imagem 18">
          <a:extLst>
            <a:ext uri="{FF2B5EF4-FFF2-40B4-BE49-F238E27FC236}">
              <a16:creationId xmlns:a16="http://schemas.microsoft.com/office/drawing/2014/main" id="{C20540E2-F476-45B1-9476-4E7BD48CBBBA}"/>
            </a:ext>
          </a:extLst>
        </xdr:cNvPr>
        <xdr:cNvPicPr>
          <a:picLocks noChangeAspect="1"/>
        </xdr:cNvPicPr>
      </xdr:nvPicPr>
      <xdr:blipFill>
        <a:blip xmlns:r="http://schemas.openxmlformats.org/officeDocument/2006/relationships" r:embed="rId7"/>
        <a:stretch>
          <a:fillRect/>
        </a:stretch>
      </xdr:blipFill>
      <xdr:spPr>
        <a:xfrm>
          <a:off x="85725" y="25898475"/>
          <a:ext cx="10002646" cy="577295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0</xdr:col>
      <xdr:colOff>152400</xdr:colOff>
      <xdr:row>136</xdr:row>
      <xdr:rowOff>66675</xdr:rowOff>
    </xdr:from>
    <xdr:to>
      <xdr:col>1</xdr:col>
      <xdr:colOff>285750</xdr:colOff>
      <xdr:row>137</xdr:row>
      <xdr:rowOff>123825</xdr:rowOff>
    </xdr:to>
    <xdr:sp macro="" textlink="">
      <xdr:nvSpPr>
        <xdr:cNvPr id="21" name="CaixaDeTexto 20">
          <a:extLst>
            <a:ext uri="{FF2B5EF4-FFF2-40B4-BE49-F238E27FC236}">
              <a16:creationId xmlns:a16="http://schemas.microsoft.com/office/drawing/2014/main" id="{CA173E96-47F8-4BCB-B706-BDCE3F515D0E}"/>
            </a:ext>
          </a:extLst>
        </xdr:cNvPr>
        <xdr:cNvSpPr txBox="1"/>
      </xdr:nvSpPr>
      <xdr:spPr>
        <a:xfrm>
          <a:off x="152400" y="25974675"/>
          <a:ext cx="742950" cy="24765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ACESSOS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AI19"/>
  <sheetViews>
    <sheetView showGridLines="0" tabSelected="1" view="pageBreakPreview" topLeftCell="L1" zoomScale="70" zoomScaleNormal="30" zoomScaleSheetLayoutView="70" workbookViewId="0">
      <selection activeCell="L3" sqref="L3"/>
    </sheetView>
  </sheetViews>
  <sheetFormatPr defaultRowHeight="30" customHeight="1" x14ac:dyDescent="0.3"/>
  <cols>
    <col min="1" max="1" width="10.6640625" customWidth="1"/>
    <col min="2" max="2" width="15.6640625" customWidth="1"/>
    <col min="3" max="3" width="10.6640625" style="30" customWidth="1"/>
    <col min="4" max="4" width="10.6640625" style="2" customWidth="1"/>
    <col min="5" max="5" width="15.6640625" style="12" customWidth="1"/>
    <col min="6" max="6" width="15.6640625" style="17" customWidth="1"/>
    <col min="7" max="7" width="10.6640625" style="2" customWidth="1"/>
    <col min="8" max="9" width="15.6640625" style="14" customWidth="1"/>
    <col min="10" max="10" width="10.6640625" customWidth="1"/>
    <col min="11" max="11" width="15.5546875" style="12" customWidth="1"/>
    <col min="12" max="12" width="16.33203125" style="34" customWidth="1"/>
    <col min="13" max="13" width="10.6640625" style="12" customWidth="1"/>
    <col min="14" max="14" width="19" style="1" customWidth="1"/>
    <col min="15" max="15" width="10.6640625" style="16" customWidth="1"/>
    <col min="16" max="16" width="14" style="18" customWidth="1"/>
    <col min="17" max="18" width="10.6640625" style="16" customWidth="1"/>
    <col min="19" max="19" width="13.6640625" style="16" customWidth="1"/>
    <col min="20" max="20" width="12.5546875" style="35" customWidth="1"/>
    <col min="21" max="21" width="15.6640625" style="16" customWidth="1"/>
    <col min="22" max="22" width="16.6640625" style="16" customWidth="1"/>
    <col min="23" max="23" width="13.44140625" style="16" customWidth="1"/>
    <col min="24" max="25" width="12.6640625" style="18" customWidth="1"/>
    <col min="26" max="26" width="10.6640625" style="18" customWidth="1"/>
    <col min="27" max="27" width="10.6640625" style="1" customWidth="1"/>
    <col min="28" max="28" width="20.109375" customWidth="1"/>
    <col min="29" max="29" width="20" customWidth="1"/>
    <col min="30" max="31" width="20.5546875" customWidth="1"/>
    <col min="32" max="32" width="18.5546875" style="2" customWidth="1"/>
    <col min="33" max="33" width="19.5546875" style="2" customWidth="1"/>
    <col min="34" max="34" width="15.6640625" style="2" customWidth="1"/>
    <col min="35" max="35" width="15.6640625" customWidth="1"/>
  </cols>
  <sheetData>
    <row r="1" spans="1:35" ht="80.25" customHeight="1" thickBot="1" x14ac:dyDescent="0.35">
      <c r="A1" s="58"/>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row>
    <row r="2" spans="1:35" s="9" customFormat="1" ht="30" customHeight="1" thickBot="1" x14ac:dyDescent="0.45">
      <c r="A2" s="49" t="s">
        <v>135</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1"/>
    </row>
    <row r="3" spans="1:35" ht="80.099999999999994" customHeight="1" thickBot="1" x14ac:dyDescent="0.35">
      <c r="A3" s="13" t="s">
        <v>4</v>
      </c>
      <c r="B3" s="8" t="s">
        <v>7</v>
      </c>
      <c r="C3" s="8" t="s">
        <v>43</v>
      </c>
      <c r="D3" s="8" t="s">
        <v>44</v>
      </c>
      <c r="E3" s="8" t="s">
        <v>45</v>
      </c>
      <c r="F3" s="8" t="s">
        <v>46</v>
      </c>
      <c r="G3" s="8" t="s">
        <v>47</v>
      </c>
      <c r="H3" s="8" t="s">
        <v>48</v>
      </c>
      <c r="I3" s="8" t="s">
        <v>49</v>
      </c>
      <c r="J3" s="8" t="s">
        <v>27</v>
      </c>
      <c r="K3" s="8" t="s">
        <v>51</v>
      </c>
      <c r="L3" s="8" t="s">
        <v>110</v>
      </c>
      <c r="M3" s="8" t="s">
        <v>53</v>
      </c>
      <c r="N3" s="8" t="s">
        <v>114</v>
      </c>
      <c r="O3" s="8" t="s">
        <v>55</v>
      </c>
      <c r="P3" s="8" t="s">
        <v>97</v>
      </c>
      <c r="Q3" s="8" t="s">
        <v>57</v>
      </c>
      <c r="R3" s="8" t="s">
        <v>26</v>
      </c>
      <c r="S3" s="20" t="s">
        <v>60</v>
      </c>
      <c r="T3" s="20" t="s">
        <v>62</v>
      </c>
      <c r="U3" s="20" t="s">
        <v>64</v>
      </c>
      <c r="V3" s="20" t="s">
        <v>92</v>
      </c>
      <c r="W3" s="20" t="s">
        <v>94</v>
      </c>
      <c r="X3" s="20" t="s">
        <v>93</v>
      </c>
      <c r="Y3" s="20" t="s">
        <v>66</v>
      </c>
      <c r="Z3" s="20" t="s">
        <v>68</v>
      </c>
      <c r="AA3" s="20" t="s">
        <v>70</v>
      </c>
      <c r="AB3" s="20" t="s">
        <v>72</v>
      </c>
      <c r="AC3" s="20" t="s">
        <v>121</v>
      </c>
      <c r="AD3" s="20" t="s">
        <v>117</v>
      </c>
      <c r="AE3" s="20" t="s">
        <v>123</v>
      </c>
      <c r="AF3" s="20" t="s">
        <v>74</v>
      </c>
      <c r="AG3" s="23" t="s">
        <v>77</v>
      </c>
      <c r="AH3" s="24" t="s">
        <v>28</v>
      </c>
      <c r="AI3" s="29" t="s">
        <v>132</v>
      </c>
    </row>
    <row r="4" spans="1:35" ht="30" customHeight="1" x14ac:dyDescent="0.3">
      <c r="A4" s="3"/>
      <c r="B4" s="3"/>
      <c r="C4" s="32"/>
      <c r="D4" s="31"/>
      <c r="E4" s="33"/>
      <c r="F4" s="33"/>
      <c r="G4" s="31"/>
      <c r="H4" s="33"/>
      <c r="I4" s="33"/>
      <c r="J4" s="3"/>
      <c r="K4" s="32"/>
      <c r="L4" s="31"/>
      <c r="M4" s="3"/>
      <c r="N4" s="3"/>
      <c r="O4" s="32"/>
      <c r="P4" s="31"/>
      <c r="Q4" s="3"/>
      <c r="R4" s="32"/>
      <c r="S4" s="38"/>
      <c r="T4" s="40"/>
      <c r="U4" s="3"/>
      <c r="V4" s="3"/>
      <c r="W4" s="3"/>
      <c r="X4" s="3"/>
      <c r="Y4" s="3"/>
      <c r="Z4" s="3"/>
      <c r="AA4" s="3"/>
      <c r="AB4" s="3"/>
      <c r="AC4" s="3"/>
      <c r="AD4" s="3"/>
      <c r="AE4" s="3"/>
      <c r="AF4" s="31"/>
      <c r="AG4" s="31"/>
      <c r="AH4" s="31"/>
      <c r="AI4" s="42"/>
    </row>
    <row r="5" spans="1:35" ht="30" customHeight="1" x14ac:dyDescent="0.3">
      <c r="A5" s="3"/>
      <c r="B5" s="3"/>
      <c r="C5" s="32"/>
      <c r="D5" s="31"/>
      <c r="E5" s="33"/>
      <c r="F5" s="33"/>
      <c r="G5" s="31"/>
      <c r="H5" s="33"/>
      <c r="I5" s="33"/>
      <c r="J5" s="3"/>
      <c r="K5" s="32"/>
      <c r="L5" s="31"/>
      <c r="M5" s="3"/>
      <c r="N5" s="3"/>
      <c r="O5" s="32"/>
      <c r="P5" s="31"/>
      <c r="Q5" s="3"/>
      <c r="R5" s="32"/>
      <c r="S5" s="39"/>
      <c r="T5" s="40"/>
      <c r="U5" s="3"/>
      <c r="V5" s="3"/>
      <c r="W5" s="3"/>
      <c r="X5" s="3"/>
      <c r="Y5" s="3"/>
      <c r="Z5" s="3"/>
      <c r="AA5" s="3"/>
      <c r="AB5" s="3"/>
      <c r="AC5" s="3"/>
      <c r="AD5" s="3"/>
      <c r="AE5" s="3"/>
      <c r="AF5" s="31"/>
      <c r="AG5" s="31"/>
      <c r="AH5" s="31"/>
      <c r="AI5" s="42"/>
    </row>
    <row r="6" spans="1:35" ht="30" customHeight="1" x14ac:dyDescent="0.3">
      <c r="A6" s="3"/>
      <c r="B6" s="3"/>
      <c r="C6" s="32"/>
      <c r="D6" s="31"/>
      <c r="E6" s="33"/>
      <c r="F6" s="33"/>
      <c r="G6" s="31"/>
      <c r="H6" s="33"/>
      <c r="I6" s="33"/>
      <c r="J6" s="3"/>
      <c r="K6" s="32"/>
      <c r="L6" s="31"/>
      <c r="M6" s="3"/>
      <c r="N6" s="3"/>
      <c r="O6" s="32"/>
      <c r="P6" s="31"/>
      <c r="Q6" s="3"/>
      <c r="R6" s="32"/>
      <c r="S6" s="38"/>
      <c r="T6" s="40"/>
      <c r="U6" s="3"/>
      <c r="V6" s="3"/>
      <c r="W6" s="3"/>
      <c r="X6" s="3"/>
      <c r="Y6" s="3"/>
      <c r="Z6" s="3"/>
      <c r="AA6" s="3"/>
      <c r="AB6" s="3"/>
      <c r="AC6" s="3"/>
      <c r="AD6" s="3"/>
      <c r="AE6" s="3"/>
      <c r="AF6" s="31"/>
      <c r="AG6" s="31"/>
      <c r="AH6" s="31"/>
      <c r="AI6" s="42"/>
    </row>
    <row r="7" spans="1:35" ht="30" customHeight="1" x14ac:dyDescent="0.3">
      <c r="A7" s="3"/>
      <c r="B7" s="3"/>
      <c r="C7" s="32"/>
      <c r="D7" s="31"/>
      <c r="E7" s="33"/>
      <c r="F7" s="33"/>
      <c r="G7" s="31"/>
      <c r="H7" s="33"/>
      <c r="I7" s="33"/>
      <c r="J7" s="3"/>
      <c r="K7" s="32"/>
      <c r="L7" s="31"/>
      <c r="M7" s="3"/>
      <c r="N7" s="3"/>
      <c r="O7" s="32"/>
      <c r="P7" s="31"/>
      <c r="Q7" s="3"/>
      <c r="R7" s="32"/>
      <c r="S7" s="38"/>
      <c r="T7" s="40"/>
      <c r="U7" s="3"/>
      <c r="V7" s="3"/>
      <c r="W7" s="3"/>
      <c r="X7" s="3"/>
      <c r="Y7" s="3"/>
      <c r="Z7" s="3"/>
      <c r="AA7" s="3"/>
      <c r="AB7" s="3"/>
      <c r="AC7" s="3"/>
      <c r="AD7" s="3"/>
      <c r="AE7" s="3"/>
      <c r="AF7" s="31"/>
      <c r="AG7" s="31"/>
      <c r="AH7" s="31"/>
      <c r="AI7" s="42"/>
    </row>
    <row r="8" spans="1:35" ht="30" customHeight="1" x14ac:dyDescent="0.3">
      <c r="A8" s="3"/>
      <c r="B8" s="3"/>
      <c r="C8" s="32"/>
      <c r="D8" s="31"/>
      <c r="E8" s="33"/>
      <c r="F8" s="33"/>
      <c r="G8" s="31"/>
      <c r="H8" s="33"/>
      <c r="I8" s="33"/>
      <c r="J8" s="3"/>
      <c r="K8" s="32"/>
      <c r="L8" s="31"/>
      <c r="M8" s="3"/>
      <c r="N8" s="3"/>
      <c r="O8" s="32"/>
      <c r="P8" s="31"/>
      <c r="Q8" s="3"/>
      <c r="R8" s="32"/>
      <c r="S8" s="38"/>
      <c r="T8" s="40"/>
      <c r="U8" s="3"/>
      <c r="V8" s="3"/>
      <c r="W8" s="3"/>
      <c r="X8" s="3"/>
      <c r="Y8" s="3"/>
      <c r="Z8" s="3"/>
      <c r="AA8" s="3"/>
      <c r="AB8" s="3"/>
      <c r="AC8" s="3"/>
      <c r="AD8" s="3"/>
      <c r="AE8" s="3"/>
      <c r="AF8" s="31"/>
      <c r="AG8" s="31"/>
      <c r="AH8" s="31"/>
      <c r="AI8" s="42"/>
    </row>
    <row r="9" spans="1:35" ht="30" customHeight="1" x14ac:dyDescent="0.3">
      <c r="A9" s="3"/>
      <c r="B9" s="3"/>
      <c r="C9" s="32"/>
      <c r="D9" s="31"/>
      <c r="E9" s="33"/>
      <c r="F9" s="33"/>
      <c r="G9" s="31"/>
      <c r="H9" s="33"/>
      <c r="I9" s="33"/>
      <c r="J9" s="3"/>
      <c r="K9" s="32"/>
      <c r="L9" s="31"/>
      <c r="M9" s="3"/>
      <c r="N9" s="3"/>
      <c r="O9" s="32"/>
      <c r="P9" s="31"/>
      <c r="Q9" s="3"/>
      <c r="R9" s="32"/>
      <c r="S9" s="38"/>
      <c r="T9" s="40"/>
      <c r="U9" s="3"/>
      <c r="V9" s="3"/>
      <c r="W9" s="3"/>
      <c r="X9" s="3"/>
      <c r="Y9" s="3"/>
      <c r="Z9" s="3"/>
      <c r="AA9" s="3"/>
      <c r="AB9" s="3"/>
      <c r="AC9" s="3"/>
      <c r="AD9" s="3"/>
      <c r="AE9" s="3"/>
      <c r="AF9" s="31"/>
      <c r="AG9" s="31"/>
      <c r="AH9" s="31"/>
      <c r="AI9" s="42"/>
    </row>
    <row r="10" spans="1:35" ht="30" customHeight="1" x14ac:dyDescent="0.3">
      <c r="A10" s="3"/>
      <c r="B10" s="3"/>
      <c r="C10" s="32"/>
      <c r="D10" s="31"/>
      <c r="E10" s="33"/>
      <c r="F10" s="33"/>
      <c r="G10" s="31"/>
      <c r="H10" s="33"/>
      <c r="I10" s="33"/>
      <c r="J10" s="3"/>
      <c r="K10" s="32"/>
      <c r="L10" s="31"/>
      <c r="M10" s="3"/>
      <c r="N10" s="3"/>
      <c r="O10" s="32"/>
      <c r="P10" s="31"/>
      <c r="Q10" s="3"/>
      <c r="R10" s="32"/>
      <c r="S10" s="38"/>
      <c r="T10" s="40"/>
      <c r="U10" s="3"/>
      <c r="V10" s="3"/>
      <c r="W10" s="3"/>
      <c r="X10" s="3"/>
      <c r="Y10" s="3"/>
      <c r="Z10" s="3"/>
      <c r="AA10" s="3"/>
      <c r="AB10" s="3"/>
      <c r="AC10" s="3"/>
      <c r="AD10" s="3"/>
      <c r="AE10" s="3"/>
      <c r="AF10" s="31"/>
      <c r="AG10" s="31"/>
      <c r="AH10" s="31"/>
      <c r="AI10" s="42"/>
    </row>
    <row r="11" spans="1:35" ht="30" customHeight="1" thickBot="1" x14ac:dyDescent="0.35">
      <c r="A11" s="43"/>
      <c r="B11" s="43"/>
      <c r="C11" s="44"/>
      <c r="D11" s="45"/>
      <c r="E11" s="46"/>
      <c r="F11" s="46"/>
      <c r="G11" s="45"/>
      <c r="H11" s="46"/>
      <c r="I11" s="46"/>
      <c r="J11" s="43"/>
      <c r="K11" s="44"/>
      <c r="L11" s="45"/>
      <c r="M11" s="43"/>
      <c r="N11" s="43"/>
      <c r="O11" s="44"/>
      <c r="P11" s="45"/>
      <c r="Q11" s="43"/>
      <c r="R11" s="44"/>
      <c r="S11" s="47"/>
      <c r="T11" s="48"/>
      <c r="U11" s="43"/>
      <c r="V11" s="43"/>
      <c r="W11" s="43"/>
      <c r="X11" s="43"/>
      <c r="Y11" s="43"/>
      <c r="Z11" s="43"/>
      <c r="AA11" s="43"/>
      <c r="AB11" s="43"/>
      <c r="AC11" s="43"/>
      <c r="AD11" s="43"/>
      <c r="AE11" s="43"/>
      <c r="AF11" s="45"/>
      <c r="AG11" s="45"/>
      <c r="AH11" s="45"/>
      <c r="AI11" s="42"/>
    </row>
    <row r="12" spans="1:35" ht="51.75" customHeight="1" thickBot="1" x14ac:dyDescent="0.35">
      <c r="A12" s="52" t="s">
        <v>134</v>
      </c>
      <c r="B12" s="53"/>
      <c r="C12" s="53"/>
      <c r="D12" s="53"/>
      <c r="E12" s="53"/>
      <c r="F12" s="53"/>
      <c r="G12" s="53"/>
      <c r="H12" s="53"/>
      <c r="I12" s="53"/>
      <c r="J12" s="53"/>
      <c r="K12" s="53"/>
      <c r="L12" s="53"/>
      <c r="M12" s="53"/>
      <c r="N12" s="53"/>
      <c r="O12" s="53"/>
      <c r="P12" s="53"/>
      <c r="Q12" s="53"/>
      <c r="R12" s="53"/>
      <c r="S12" s="53"/>
      <c r="T12" s="53"/>
      <c r="U12" s="54"/>
      <c r="V12" s="55" t="s">
        <v>133</v>
      </c>
      <c r="W12" s="56"/>
      <c r="X12" s="56"/>
      <c r="Y12" s="56"/>
      <c r="Z12" s="56"/>
      <c r="AA12" s="56"/>
      <c r="AB12" s="56"/>
      <c r="AC12" s="56"/>
      <c r="AD12" s="56"/>
      <c r="AE12" s="56"/>
      <c r="AF12" s="56"/>
      <c r="AG12" s="56"/>
      <c r="AH12" s="56"/>
      <c r="AI12" s="57"/>
    </row>
    <row r="13" spans="1:35" ht="30" customHeight="1" x14ac:dyDescent="0.3">
      <c r="L13" s="36"/>
    </row>
    <row r="14" spans="1:35" ht="30" customHeight="1" x14ac:dyDescent="0.3">
      <c r="L14" s="36"/>
    </row>
    <row r="18" spans="6:8" ht="30" customHeight="1" x14ac:dyDescent="0.3">
      <c r="F18" s="26"/>
      <c r="H18" s="27"/>
    </row>
    <row r="19" spans="6:8" ht="30" customHeight="1" x14ac:dyDescent="0.3">
      <c r="F19" s="28"/>
    </row>
  </sheetData>
  <mergeCells count="4">
    <mergeCell ref="A2:AI2"/>
    <mergeCell ref="A12:U12"/>
    <mergeCell ref="V12:AI12"/>
    <mergeCell ref="A1:AI1"/>
  </mergeCells>
  <phoneticPr fontId="24" type="noConversion"/>
  <dataValidations count="1">
    <dataValidation type="list" allowBlank="1" showInputMessage="1" showErrorMessage="1" sqref="AI4:AI11" xr:uid="{07477FD0-9AE1-40BD-9435-B752CD1AC72B}">
      <formula1>"NA, Reposição, Substituição"</formula1>
    </dataValidation>
  </dataValidations>
  <printOptions horizontalCentered="1"/>
  <pageMargins left="0.51181102362204722" right="0.51181102362204722" top="0.78740157480314965" bottom="0.78740157480314965" header="0.31496062992125984" footer="0.31496062992125984"/>
  <pageSetup paperSize="9" scale="26" fitToHeight="0" orientation="landscape" r:id="rId1"/>
  <headerFooter scaleWithDoc="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
  <dimension ref="A1:E36"/>
  <sheetViews>
    <sheetView showGridLines="0" view="pageBreakPreview" zoomScale="80" zoomScaleNormal="85" zoomScaleSheetLayoutView="80" zoomScalePageLayoutView="70" workbookViewId="0">
      <selection activeCell="A3" sqref="A3:A36"/>
    </sheetView>
  </sheetViews>
  <sheetFormatPr defaultRowHeight="14.4" x14ac:dyDescent="0.3"/>
  <cols>
    <col min="1" max="1" width="35.6640625" style="7" customWidth="1"/>
    <col min="2" max="2" width="50.6640625" style="7" customWidth="1"/>
    <col min="3" max="3" width="150.6640625" style="7" customWidth="1"/>
    <col min="5" max="5" width="9.109375" style="2"/>
  </cols>
  <sheetData>
    <row r="1" spans="1:5" s="10" customFormat="1" ht="30" customHeight="1" thickBot="1" x14ac:dyDescent="0.45">
      <c r="A1" s="59" t="s">
        <v>130</v>
      </c>
      <c r="B1" s="60"/>
      <c r="C1" s="61"/>
      <c r="D1" s="11" t="s">
        <v>99</v>
      </c>
      <c r="E1" s="15">
        <f>SUM(E2:E36)</f>
        <v>1</v>
      </c>
    </row>
    <row r="2" spans="1:5" ht="30" customHeight="1" x14ac:dyDescent="0.3">
      <c r="A2" s="6" t="s">
        <v>1</v>
      </c>
      <c r="B2" s="4" t="s">
        <v>0</v>
      </c>
      <c r="C2" s="5" t="s">
        <v>2</v>
      </c>
      <c r="D2" s="11"/>
      <c r="E2" s="15">
        <v>1</v>
      </c>
    </row>
    <row r="3" spans="1:5" ht="30" customHeight="1" x14ac:dyDescent="0.3">
      <c r="A3" s="13" t="s">
        <v>4</v>
      </c>
      <c r="B3" s="19" t="s">
        <v>41</v>
      </c>
      <c r="C3" s="37" t="s">
        <v>8</v>
      </c>
      <c r="D3" s="11" t="s">
        <v>10</v>
      </c>
      <c r="E3" s="15">
        <v>0</v>
      </c>
    </row>
    <row r="4" spans="1:5" ht="30" customHeight="1" x14ac:dyDescent="0.3">
      <c r="A4" s="8" t="s">
        <v>7</v>
      </c>
      <c r="B4" s="3" t="s">
        <v>42</v>
      </c>
      <c r="C4" s="22" t="s">
        <v>9</v>
      </c>
      <c r="D4" s="11" t="s">
        <v>11</v>
      </c>
      <c r="E4" s="15">
        <v>0</v>
      </c>
    </row>
    <row r="5" spans="1:5" ht="30" customHeight="1" x14ac:dyDescent="0.3">
      <c r="A5" s="8" t="s">
        <v>43</v>
      </c>
      <c r="B5" s="3" t="s">
        <v>102</v>
      </c>
      <c r="C5" s="22" t="s">
        <v>101</v>
      </c>
      <c r="D5" s="11" t="s">
        <v>12</v>
      </c>
      <c r="E5" s="15">
        <v>0</v>
      </c>
    </row>
    <row r="6" spans="1:5" ht="30" customHeight="1" x14ac:dyDescent="0.3">
      <c r="A6" s="8" t="s">
        <v>44</v>
      </c>
      <c r="B6" s="3" t="s">
        <v>103</v>
      </c>
      <c r="C6" s="22" t="s">
        <v>6</v>
      </c>
      <c r="D6" s="11" t="s">
        <v>13</v>
      </c>
      <c r="E6" s="15">
        <v>0</v>
      </c>
    </row>
    <row r="7" spans="1:5" ht="30" customHeight="1" x14ac:dyDescent="0.3">
      <c r="A7" s="8" t="s">
        <v>45</v>
      </c>
      <c r="B7" s="3" t="s">
        <v>104</v>
      </c>
      <c r="C7" s="22" t="s">
        <v>5</v>
      </c>
      <c r="D7" s="11" t="s">
        <v>3</v>
      </c>
      <c r="E7" s="15">
        <v>0</v>
      </c>
    </row>
    <row r="8" spans="1:5" ht="30" customHeight="1" x14ac:dyDescent="0.3">
      <c r="A8" s="8" t="s">
        <v>46</v>
      </c>
      <c r="B8" s="3" t="s">
        <v>105</v>
      </c>
      <c r="C8" s="22" t="s">
        <v>5</v>
      </c>
      <c r="D8" s="11" t="s">
        <v>14</v>
      </c>
      <c r="E8" s="15">
        <v>0</v>
      </c>
    </row>
    <row r="9" spans="1:5" ht="30" customHeight="1" x14ac:dyDescent="0.3">
      <c r="A9" s="8" t="s">
        <v>47</v>
      </c>
      <c r="B9" s="3" t="s">
        <v>106</v>
      </c>
      <c r="C9" s="22" t="s">
        <v>6</v>
      </c>
      <c r="D9" s="11" t="s">
        <v>15</v>
      </c>
      <c r="E9" s="15">
        <v>0</v>
      </c>
    </row>
    <row r="10" spans="1:5" ht="30" customHeight="1" x14ac:dyDescent="0.3">
      <c r="A10" s="8" t="s">
        <v>48</v>
      </c>
      <c r="B10" s="3" t="s">
        <v>107</v>
      </c>
      <c r="C10" s="22" t="s">
        <v>5</v>
      </c>
      <c r="D10" s="11" t="s">
        <v>16</v>
      </c>
      <c r="E10" s="15">
        <v>0</v>
      </c>
    </row>
    <row r="11" spans="1:5" ht="30" customHeight="1" x14ac:dyDescent="0.3">
      <c r="A11" s="8" t="s">
        <v>49</v>
      </c>
      <c r="B11" s="3" t="s">
        <v>108</v>
      </c>
      <c r="C11" s="22" t="s">
        <v>5</v>
      </c>
      <c r="D11" s="11" t="s">
        <v>17</v>
      </c>
      <c r="E11" s="15">
        <v>0</v>
      </c>
    </row>
    <row r="12" spans="1:5" ht="30" customHeight="1" x14ac:dyDescent="0.3">
      <c r="A12" s="8" t="s">
        <v>27</v>
      </c>
      <c r="B12" s="3" t="s">
        <v>50</v>
      </c>
      <c r="C12" s="22" t="s">
        <v>85</v>
      </c>
      <c r="D12" s="11" t="s">
        <v>18</v>
      </c>
      <c r="E12" s="15">
        <v>0</v>
      </c>
    </row>
    <row r="13" spans="1:5" ht="30" customHeight="1" x14ac:dyDescent="0.3">
      <c r="A13" s="8" t="s">
        <v>51</v>
      </c>
      <c r="B13" s="3" t="s">
        <v>52</v>
      </c>
      <c r="C13" s="22" t="s">
        <v>30</v>
      </c>
      <c r="D13" s="11" t="s">
        <v>19</v>
      </c>
      <c r="E13" s="15">
        <v>0</v>
      </c>
    </row>
    <row r="14" spans="1:5" ht="30" customHeight="1" x14ac:dyDescent="0.3">
      <c r="A14" s="8" t="s">
        <v>110</v>
      </c>
      <c r="B14" s="3" t="s">
        <v>109</v>
      </c>
      <c r="C14" s="22" t="s">
        <v>86</v>
      </c>
      <c r="D14" s="11" t="s">
        <v>20</v>
      </c>
      <c r="E14" s="15">
        <v>0</v>
      </c>
    </row>
    <row r="15" spans="1:5" ht="30" customHeight="1" x14ac:dyDescent="0.3">
      <c r="A15" s="8" t="s">
        <v>53</v>
      </c>
      <c r="B15" s="3" t="s">
        <v>100</v>
      </c>
      <c r="C15" s="22" t="s">
        <v>111</v>
      </c>
      <c r="D15" s="11" t="s">
        <v>21</v>
      </c>
      <c r="E15" s="15">
        <v>0</v>
      </c>
    </row>
    <row r="16" spans="1:5" ht="30" customHeight="1" x14ac:dyDescent="0.3">
      <c r="A16" s="8" t="s">
        <v>114</v>
      </c>
      <c r="B16" s="3" t="s">
        <v>54</v>
      </c>
      <c r="C16" s="22" t="s">
        <v>115</v>
      </c>
      <c r="D16" s="11" t="s">
        <v>22</v>
      </c>
      <c r="E16" s="15">
        <v>0</v>
      </c>
    </row>
    <row r="17" spans="1:5" ht="28.8" x14ac:dyDescent="0.3">
      <c r="A17" s="8" t="s">
        <v>55</v>
      </c>
      <c r="B17" s="3" t="s">
        <v>56</v>
      </c>
      <c r="C17" s="22" t="s">
        <v>87</v>
      </c>
      <c r="D17" s="11" t="s">
        <v>23</v>
      </c>
      <c r="E17" s="15">
        <v>0</v>
      </c>
    </row>
    <row r="18" spans="1:5" ht="28.8" x14ac:dyDescent="0.3">
      <c r="A18" s="8" t="s">
        <v>97</v>
      </c>
      <c r="B18" s="3" t="s">
        <v>98</v>
      </c>
      <c r="C18" s="22" t="s">
        <v>116</v>
      </c>
      <c r="D18" s="11" t="s">
        <v>31</v>
      </c>
      <c r="E18" s="15">
        <v>0</v>
      </c>
    </row>
    <row r="19" spans="1:5" ht="30" customHeight="1" x14ac:dyDescent="0.3">
      <c r="A19" s="8" t="s">
        <v>57</v>
      </c>
      <c r="B19" s="3" t="s">
        <v>58</v>
      </c>
      <c r="C19" s="22" t="s">
        <v>112</v>
      </c>
      <c r="D19" s="11" t="s">
        <v>24</v>
      </c>
      <c r="E19" s="15">
        <v>0</v>
      </c>
    </row>
    <row r="20" spans="1:5" ht="30" customHeight="1" x14ac:dyDescent="0.3">
      <c r="A20" s="8" t="s">
        <v>26</v>
      </c>
      <c r="B20" s="3" t="s">
        <v>59</v>
      </c>
      <c r="C20" s="22" t="s">
        <v>30</v>
      </c>
      <c r="D20" s="11" t="s">
        <v>33</v>
      </c>
      <c r="E20" s="15">
        <v>0</v>
      </c>
    </row>
    <row r="21" spans="1:5" ht="30" customHeight="1" x14ac:dyDescent="0.3">
      <c r="A21" s="20" t="s">
        <v>60</v>
      </c>
      <c r="B21" s="21" t="s">
        <v>61</v>
      </c>
      <c r="C21" s="22" t="s">
        <v>88</v>
      </c>
      <c r="D21" s="11" t="s">
        <v>34</v>
      </c>
      <c r="E21" s="15">
        <v>0</v>
      </c>
    </row>
    <row r="22" spans="1:5" ht="30" customHeight="1" x14ac:dyDescent="0.3">
      <c r="A22" s="20" t="s">
        <v>62</v>
      </c>
      <c r="B22" s="21" t="s">
        <v>63</v>
      </c>
      <c r="C22" s="22" t="s">
        <v>90</v>
      </c>
      <c r="D22" s="11" t="s">
        <v>35</v>
      </c>
      <c r="E22" s="15">
        <v>0</v>
      </c>
    </row>
    <row r="23" spans="1:5" ht="30" customHeight="1" x14ac:dyDescent="0.3">
      <c r="A23" s="20" t="s">
        <v>64</v>
      </c>
      <c r="B23" s="21" t="s">
        <v>65</v>
      </c>
      <c r="C23" s="22" t="s">
        <v>118</v>
      </c>
      <c r="D23" s="11" t="s">
        <v>32</v>
      </c>
      <c r="E23" s="15">
        <v>0</v>
      </c>
    </row>
    <row r="24" spans="1:5" ht="30" customHeight="1" x14ac:dyDescent="0.3">
      <c r="A24" s="20" t="s">
        <v>92</v>
      </c>
      <c r="B24" s="21" t="s">
        <v>91</v>
      </c>
      <c r="C24" s="22" t="s">
        <v>113</v>
      </c>
      <c r="D24" s="11" t="s">
        <v>36</v>
      </c>
      <c r="E24" s="15">
        <v>0</v>
      </c>
    </row>
    <row r="25" spans="1:5" ht="30" customHeight="1" x14ac:dyDescent="0.3">
      <c r="A25" s="20" t="s">
        <v>94</v>
      </c>
      <c r="B25" s="21" t="s">
        <v>95</v>
      </c>
      <c r="C25" s="22" t="s">
        <v>119</v>
      </c>
      <c r="D25" s="11" t="s">
        <v>39</v>
      </c>
      <c r="E25" s="15">
        <v>0</v>
      </c>
    </row>
    <row r="26" spans="1:5" ht="30" customHeight="1" x14ac:dyDescent="0.3">
      <c r="A26" s="20" t="s">
        <v>93</v>
      </c>
      <c r="B26" s="21" t="s">
        <v>96</v>
      </c>
      <c r="C26" s="22" t="s">
        <v>120</v>
      </c>
      <c r="D26" s="11" t="s">
        <v>29</v>
      </c>
      <c r="E26" s="15">
        <v>0</v>
      </c>
    </row>
    <row r="27" spans="1:5" ht="30" customHeight="1" x14ac:dyDescent="0.3">
      <c r="A27" s="20" t="s">
        <v>66</v>
      </c>
      <c r="B27" s="21" t="s">
        <v>67</v>
      </c>
      <c r="C27" s="22" t="s">
        <v>127</v>
      </c>
      <c r="D27" s="11" t="s">
        <v>40</v>
      </c>
      <c r="E27" s="15">
        <v>0</v>
      </c>
    </row>
    <row r="28" spans="1:5" ht="45" customHeight="1" x14ac:dyDescent="0.3">
      <c r="A28" s="20" t="s">
        <v>68</v>
      </c>
      <c r="B28" s="21" t="s">
        <v>69</v>
      </c>
      <c r="C28" s="22" t="s">
        <v>128</v>
      </c>
      <c r="D28" s="11" t="s">
        <v>25</v>
      </c>
      <c r="E28" s="15">
        <v>0</v>
      </c>
    </row>
    <row r="29" spans="1:5" ht="45" customHeight="1" x14ac:dyDescent="0.3">
      <c r="A29" s="20" t="s">
        <v>70</v>
      </c>
      <c r="B29" s="21" t="s">
        <v>71</v>
      </c>
      <c r="C29" s="22" t="s">
        <v>128</v>
      </c>
      <c r="D29" s="11" t="s">
        <v>37</v>
      </c>
      <c r="E29" s="15">
        <v>0</v>
      </c>
    </row>
    <row r="30" spans="1:5" ht="30" customHeight="1" x14ac:dyDescent="0.3">
      <c r="A30" s="20" t="s">
        <v>72</v>
      </c>
      <c r="B30" s="21" t="s">
        <v>89</v>
      </c>
      <c r="C30" s="22" t="s">
        <v>73</v>
      </c>
      <c r="D30" s="11" t="s">
        <v>38</v>
      </c>
      <c r="E30" s="15">
        <v>0</v>
      </c>
    </row>
    <row r="31" spans="1:5" ht="28.8" x14ac:dyDescent="0.3">
      <c r="A31" s="20" t="s">
        <v>121</v>
      </c>
      <c r="B31" s="21" t="s">
        <v>122</v>
      </c>
      <c r="C31" s="22" t="s">
        <v>131</v>
      </c>
      <c r="D31" s="11" t="s">
        <v>80</v>
      </c>
      <c r="E31" s="15">
        <v>0</v>
      </c>
    </row>
    <row r="32" spans="1:5" x14ac:dyDescent="0.3">
      <c r="A32" s="20" t="s">
        <v>117</v>
      </c>
      <c r="B32" s="21" t="s">
        <v>89</v>
      </c>
      <c r="C32" s="22" t="s">
        <v>73</v>
      </c>
      <c r="D32" s="11" t="s">
        <v>81</v>
      </c>
      <c r="E32" s="15">
        <v>0</v>
      </c>
    </row>
    <row r="33" spans="1:5" ht="28.8" x14ac:dyDescent="0.3">
      <c r="A33" s="20" t="s">
        <v>123</v>
      </c>
      <c r="B33" s="21" t="s">
        <v>124</v>
      </c>
      <c r="C33" s="22" t="s">
        <v>125</v>
      </c>
      <c r="D33" s="11" t="s">
        <v>82</v>
      </c>
      <c r="E33" s="15">
        <v>0</v>
      </c>
    </row>
    <row r="34" spans="1:5" ht="30" customHeight="1" x14ac:dyDescent="0.3">
      <c r="A34" s="20" t="s">
        <v>74</v>
      </c>
      <c r="B34" s="21" t="s">
        <v>75</v>
      </c>
      <c r="C34" s="22" t="s">
        <v>76</v>
      </c>
      <c r="D34" s="11" t="s">
        <v>83</v>
      </c>
      <c r="E34" s="15">
        <v>0</v>
      </c>
    </row>
    <row r="35" spans="1:5" ht="30" customHeight="1" x14ac:dyDescent="0.3">
      <c r="A35" s="23" t="s">
        <v>77</v>
      </c>
      <c r="B35" s="21" t="s">
        <v>78</v>
      </c>
      <c r="C35" s="22" t="s">
        <v>76</v>
      </c>
      <c r="D35" s="11" t="s">
        <v>129</v>
      </c>
      <c r="E35" s="15">
        <v>0</v>
      </c>
    </row>
    <row r="36" spans="1:5" ht="30" customHeight="1" thickBot="1" x14ac:dyDescent="0.35">
      <c r="A36" s="24" t="s">
        <v>28</v>
      </c>
      <c r="B36" s="25" t="s">
        <v>79</v>
      </c>
      <c r="C36" s="41" t="s">
        <v>126</v>
      </c>
      <c r="D36" s="11" t="s">
        <v>84</v>
      </c>
      <c r="E36" s="15">
        <v>0</v>
      </c>
    </row>
  </sheetData>
  <mergeCells count="1">
    <mergeCell ref="A1:C1"/>
  </mergeCells>
  <printOptions horizontalCentered="1"/>
  <pageMargins left="0.51181102362204722" right="0.51181102362204722" top="0.78740157480314965" bottom="0.78740157480314965" header="0.31496062992125984" footer="0.31496062992125984"/>
  <pageSetup paperSize="9" scale="57" fitToHeight="0" orientation="landscape"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7D57E-6331-4F11-932C-752014EB1FDF}">
  <sheetPr codeName="Planilha8">
    <tabColor rgb="FFFF0000"/>
  </sheetPr>
  <dimension ref="A1"/>
  <sheetViews>
    <sheetView topLeftCell="B20" zoomScale="130" zoomScaleNormal="130" workbookViewId="0">
      <selection activeCell="Q82" sqref="Q82"/>
    </sheetView>
  </sheetViews>
  <sheetFormatPr defaultRowHeight="14.4" x14ac:dyDescent="0.3"/>
  <sheetData/>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2</vt:i4>
      </vt:variant>
    </vt:vector>
  </HeadingPairs>
  <TitlesOfParts>
    <vt:vector size="5" baseType="lpstr">
      <vt:lpstr>DS(cadastro)</vt:lpstr>
      <vt:lpstr>Dic_DS</vt:lpstr>
      <vt:lpstr>Lado</vt:lpstr>
      <vt:lpstr>Dic_DS!Area_de_impressao</vt:lpstr>
      <vt:lpstr>'DS(cadastro)'!Area_de_impressao</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Romulo F. Cardoso</dc:creator>
  <cp:lastModifiedBy>Marilea Cassia Vaz Sampaio</cp:lastModifiedBy>
  <cp:lastPrinted>2022-07-08T18:22:21Z</cp:lastPrinted>
  <dcterms:created xsi:type="dcterms:W3CDTF">2013-06-05T19:18:44Z</dcterms:created>
  <dcterms:modified xsi:type="dcterms:W3CDTF">2025-10-11T22:59:40Z</dcterms:modified>
</cp:coreProperties>
</file>